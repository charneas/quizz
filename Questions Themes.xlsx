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https://d.docs.live.net/ae53e439003aab14/Documents/5 ans KW/Quiz/"/>
    </mc:Choice>
  </mc:AlternateContent>
  <xr:revisionPtr revIDLastSave="1393" documentId="8_{A521B16A-45D9-479D-9701-FF15F0C5F0F0}" xr6:coauthVersionLast="47" xr6:coauthVersionMax="47" xr10:uidLastSave="{16CBB7AA-2AD9-4FE5-85BA-5D459598F10B}"/>
  <bookViews>
    <workbookView xWindow="-345" yWindow="7515" windowWidth="23475" windowHeight="12495" xr2:uid="{00000000-000D-0000-FFFF-FFFF00000000}"/>
  </bookViews>
  <sheets>
    <sheet name="Questions" sheetId="1" r:id="rId1"/>
    <sheet name="Finale" sheetId="2" r:id="rId2"/>
    <sheet name="Sc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3" l="1"/>
  <c r="AF4" i="3"/>
  <c r="AF5" i="3"/>
  <c r="AF6" i="3"/>
  <c r="AF7" i="3"/>
  <c r="AF2" i="3"/>
  <c r="Y4" i="3"/>
  <c r="Y5" i="3"/>
  <c r="Y6" i="3"/>
  <c r="Y7" i="3"/>
  <c r="Y3" i="3"/>
  <c r="Y2" i="3"/>
  <c r="X2" i="3"/>
  <c r="P2" i="3"/>
  <c r="R2" i="3" s="1"/>
  <c r="P3" i="3"/>
  <c r="R3" i="3" s="1"/>
  <c r="P4" i="3"/>
  <c r="R4" i="3" s="1"/>
  <c r="P5" i="3"/>
  <c r="R5" i="3" s="1"/>
  <c r="P6" i="3"/>
  <c r="R6" i="3" s="1"/>
  <c r="P7" i="3"/>
  <c r="R7" i="3" s="1"/>
  <c r="P1" i="3"/>
  <c r="R1" i="3" s="1"/>
  <c r="G1" i="3"/>
  <c r="H2" i="3"/>
  <c r="H3" i="3"/>
  <c r="H4" i="3"/>
  <c r="H5" i="3"/>
  <c r="H6" i="3"/>
  <c r="H7" i="3"/>
  <c r="H1" i="3"/>
</calcChain>
</file>

<file path=xl/sharedStrings.xml><?xml version="1.0" encoding="utf-8"?>
<sst xmlns="http://schemas.openxmlformats.org/spreadsheetml/2006/main" count="1043" uniqueCount="605">
  <si>
    <t>Difficulté</t>
  </si>
  <si>
    <t>Thème</t>
  </si>
  <si>
    <t>Question</t>
  </si>
  <si>
    <t>Réponse</t>
  </si>
  <si>
    <t>Difficile</t>
  </si>
  <si>
    <t>Art</t>
  </si>
  <si>
    <t>Quel architect a imaginé l'opéra de Sydney ?</t>
  </si>
  <si>
    <t>Jarn Utzon</t>
  </si>
  <si>
    <r>
      <t xml:space="preserve">Qui a peint le tableau </t>
    </r>
    <r>
      <rPr>
        <i/>
        <sz val="11"/>
        <color theme="1"/>
        <rFont val="Calibri"/>
        <family val="2"/>
        <scheme val="minor"/>
      </rPr>
      <t>Saint Louis, roi de France, et un page</t>
    </r>
    <r>
      <rPr>
        <sz val="11"/>
        <color theme="1"/>
        <rFont val="Calibri"/>
        <family val="2"/>
        <scheme val="minor"/>
      </rPr>
      <t xml:space="preserve"> à la fin du 16e siècle ?</t>
    </r>
  </si>
  <si>
    <t>Le Greco</t>
  </si>
  <si>
    <t>Qui sont les 4 présidents représentés sur le Mont Rushmore ?</t>
  </si>
  <si>
    <t>George Washington, Thomas Jefferson, Theodore Roosvelt, Abraham Lincoln</t>
  </si>
  <si>
    <t>Quel est le premier single a avoir eu du succès dans le rap ?</t>
  </si>
  <si>
    <t>Rapper's Delight (Sugar Hill Gang)</t>
  </si>
  <si>
    <t>Quel est l'album rap le plus vendu de l'histoire ?</t>
  </si>
  <si>
    <t>Speakerboxxx/The Love Below de Outkast</t>
  </si>
  <si>
    <t>Facile</t>
  </si>
  <si>
    <t>Qui a peint le plafond de la Chapelle Sixtine ?</t>
  </si>
  <si>
    <t>Michel Ange (Michellangelo accepté)</t>
  </si>
  <si>
    <t>Qui a peint la Liberté Guidant le peuple ?</t>
  </si>
  <si>
    <t>Eugène Delacroix</t>
  </si>
  <si>
    <t>De quoi le rap est-il un acronyme ?</t>
  </si>
  <si>
    <t>Rythm and Poetry</t>
  </si>
  <si>
    <t>Qui a peint "La Nuit Etoilée" ?</t>
  </si>
  <si>
    <t>Van Gogh</t>
  </si>
  <si>
    <t>Qui a sculpté le célèbre Penseur ?</t>
  </si>
  <si>
    <t>Rodin</t>
  </si>
  <si>
    <t>Moyen</t>
  </si>
  <si>
    <t>Pourquoi la Venus de Milo n'a plus de bras ?</t>
  </si>
  <si>
    <t>Les statues étaient assemblées et liées par des pieces qui se sont disloqué</t>
  </si>
  <si>
    <t>Qui fut le premier rappeur connu ?</t>
  </si>
  <si>
    <t>Herc</t>
  </si>
  <si>
    <t>Quel est le premier collectif dans lequel était Nekfeu ?</t>
  </si>
  <si>
    <t>L'entourage</t>
  </si>
  <si>
    <t>A quel siècle a commencé l'époque de l'Art Moderne ?</t>
  </si>
  <si>
    <t>19e</t>
  </si>
  <si>
    <t>Quel célèbre architecte a réalisé la flèche originelle de Notre Dame de Paris ?</t>
  </si>
  <si>
    <t>Eugène Viollet le Duc</t>
  </si>
  <si>
    <t>Films/Séries</t>
  </si>
  <si>
    <t>Quel est le premier film a avoir l'Oscar du Meilleur Film ?</t>
  </si>
  <si>
    <t>Les Ailes</t>
  </si>
  <si>
    <t>Combien d'acteurs ont incarné Asterix au cinéma ?</t>
  </si>
  <si>
    <t>Combien de films sont dans le MCU ?</t>
  </si>
  <si>
    <t>Qui est la plus jeune actrice a avoir eu le César de la meilleure actrice ?</t>
  </si>
  <si>
    <t>Sandrine Bonnaire</t>
  </si>
  <si>
    <t>Combien d'entrées a réalisé le comte de Monte Cristo en France (a 100 000 pres) ?</t>
  </si>
  <si>
    <t>Quel est la série la plus longue qui a été diffusée ?</t>
  </si>
  <si>
    <t>Haine et Passion (avec 15762 épisodes)</t>
  </si>
  <si>
    <t>Quel est le nom de l'actrice incarnant Eleven/Onze dans Stranger Things ?</t>
  </si>
  <si>
    <t>Millie Bobby Brown</t>
  </si>
  <si>
    <t>Comment s'appelle le Dragons dans la saga du même nom ?</t>
  </si>
  <si>
    <t>Croque-mou</t>
  </si>
  <si>
    <t>Combien de Dragons possède Daenerys Targaryen ?</t>
  </si>
  <si>
    <t>Quel réalisateur français est reconnu comme étant un des premiers spécialiste des effets spéciaux ou trucage au cinéma ?</t>
  </si>
  <si>
    <t>Georges Melies</t>
  </si>
  <si>
    <t>Quel est le premier pokémon croisé légendaire par Sacha dans la série animée ?</t>
  </si>
  <si>
    <t>Ho-oh</t>
  </si>
  <si>
    <t>Qui est le réalistaeur de Kill Bill Volume 1 ?</t>
  </si>
  <si>
    <t>Quentin Tarentino</t>
  </si>
  <si>
    <t>Quels sont les acteurs qui ont dansé "la carioca" dans la cité de la peur ?</t>
  </si>
  <si>
    <t>Alain Chabat et Gérard Darmon</t>
  </si>
  <si>
    <t xml:space="preserve">Quel est le prénom du héros d'Indiana Jones ? </t>
  </si>
  <si>
    <t>Junior</t>
  </si>
  <si>
    <t>Quel est le Pokémon qui se transforme en Sacha ?</t>
  </si>
  <si>
    <t>Amphinobi ou Sachanobi</t>
  </si>
  <si>
    <t>Combien d'épisodes de One Piece ont été publié (a 10 près) ?</t>
  </si>
  <si>
    <t>Combien de classiques d'animations ont été créées par Walt Disney Studios ?</t>
  </si>
  <si>
    <t>A 10 près combien d'épisode compte la série Docteur House ?</t>
  </si>
  <si>
    <t>Quel est le dernier Pokémon choisi par Sacha pour battre Alain ?</t>
  </si>
  <si>
    <t>Géographie</t>
  </si>
  <si>
    <t>A quel pays d'Amérique appartient cet emblème ? https://www.tourmag.com/photo/art/grande/67204115-47575620.jpg?v=1662558570</t>
  </si>
  <si>
    <t>Mexique</t>
  </si>
  <si>
    <t>A quel endroit appartient ce drapeau ? https://fr.wikipedia.org/wiki/Acre_%28Br%C3%A9sil%29</t>
  </si>
  <si>
    <t>Etat de Acre au Brésil</t>
  </si>
  <si>
    <t>Quelle est la population de la France (a 500 000 pres) ?</t>
  </si>
  <si>
    <t>68337 Millions</t>
  </si>
  <si>
    <t>Combien de pays sont frontaliers avec Andorre ?</t>
  </si>
  <si>
    <t>Combien y a-t-il de départements français avec les chiffres 2 et 9 ?</t>
  </si>
  <si>
    <t>Quelle est la capitale du Sri Lanka ?</t>
  </si>
  <si>
    <t>Sri Jayawardenapura Kotte</t>
  </si>
  <si>
    <t>Histoire</t>
  </si>
  <si>
    <t>Quelle est la principale conséquence du Boston Tea Party ?</t>
  </si>
  <si>
    <t>Déceloppement du Premier Congrès Continental</t>
  </si>
  <si>
    <t>A quel siècle a été formé le premier empire de Chine ?</t>
  </si>
  <si>
    <t>3e siècle avant JC</t>
  </si>
  <si>
    <t>Dans quelle ville a été arrêté Louis XVI alors qu'il tentait de fuir la France ?</t>
  </si>
  <si>
    <t>Varennes</t>
  </si>
  <si>
    <t>A quel âge Hitler était SDF ?</t>
  </si>
  <si>
    <t>20 ans</t>
  </si>
  <si>
    <t>Pendant combien de temps le mur de Berlin a séparé la ville en 2 ?</t>
  </si>
  <si>
    <t>28 ans ( 1961-1989 )</t>
  </si>
  <si>
    <t>Combien de régimes impériaux la France a-t-elle connu ?</t>
  </si>
  <si>
    <t>En quelle année s'est produit la Commune de Paris ?</t>
  </si>
  <si>
    <t>Où est-ce que l'écrivain Jean-Paul Marat a t'il été assassiné lors de la révolution ?</t>
  </si>
  <si>
    <t>Dans sa baignoire</t>
  </si>
  <si>
    <t>Quel temple a été érigé sous Ramses II ?</t>
  </si>
  <si>
    <t>Abu Simbel</t>
  </si>
  <si>
    <t>Quel est le siècle d'introduction de la Pomme de Terre en France ?</t>
  </si>
  <si>
    <t>16e</t>
  </si>
  <si>
    <t>Internet</t>
  </si>
  <si>
    <t>Quel jour a été ouvert Youtube ?</t>
  </si>
  <si>
    <t>A quoi sert Cloudflare ?</t>
  </si>
  <si>
    <t>Permet d'améliorer la sécurité et la performance des sites</t>
  </si>
  <si>
    <t>A 10M de vues près, combien de vues a fait la vidéo ayant le plus de vues ?</t>
  </si>
  <si>
    <t>15,875 Md</t>
  </si>
  <si>
    <t>Jeux Vidéos</t>
  </si>
  <si>
    <t>Quel est le nom des deux personnages principaux de Cuphead ?</t>
  </si>
  <si>
    <t>Cuphead et Mugman</t>
  </si>
  <si>
    <t>Combien de DLC et d'extentions compte aujourd'hui Train Simulator Classic (à 10 près) ?</t>
  </si>
  <si>
    <t>Jeux vidéos</t>
  </si>
  <si>
    <t>Quelles sont les différances entre Cizayox shiny et pokémon colosseum et celui de Ecarlate et violet</t>
  </si>
  <si>
    <t>L'un est vert chromé et l'autre est plaqué or :poyo:</t>
  </si>
  <si>
    <t>Quelles sont les couleurs de spododo shiny ?</t>
  </si>
  <si>
    <t>Marron et Rouge</t>
  </si>
  <si>
    <t>quelles sont les couleurs de Araqua shiny ?</t>
  </si>
  <si>
    <t>Rouge et Noir</t>
  </si>
  <si>
    <t>Quel studio a développé Mario Sport Mix ?</t>
  </si>
  <si>
    <t>Square Enix</t>
  </si>
  <si>
    <t>Quel est le style du jeu des Mog dans Mario Sport Mix ?</t>
  </si>
  <si>
    <t>Technique</t>
  </si>
  <si>
    <t>Qu'est-ce que Samus Sombre ?</t>
  </si>
  <si>
    <t>c'est le Metroid Prime qui absorbe le phazon du costume de Samus</t>
  </si>
  <si>
    <t>Quel est le développeur de Metroid Prime Pinball ?</t>
  </si>
  <si>
    <t>Fuse Game</t>
  </si>
  <si>
    <t>Littérature</t>
  </si>
  <si>
    <t>Comment s'appelle le manga publié par Comic BonBon entre 2002 et 2004 ?</t>
  </si>
  <si>
    <t>Samus and Joey</t>
  </si>
  <si>
    <t>quel a été le 1er tournoi gagné de Vita sur CS:GO ?</t>
  </si>
  <si>
    <t>DreamHack Open Atlanta 2018</t>
  </si>
  <si>
    <t>Comment s'appelle la mission post game rajouté dans pokémon Ultra sun and moon</t>
  </si>
  <si>
    <t>Episode Rainbow Rocket</t>
  </si>
  <si>
    <t>Comment s'appel le 1er doyen qu'on combat au court de l'aventure de la 7G Pokémon ?</t>
  </si>
  <si>
    <t>Pectorius</t>
  </si>
  <si>
    <t xml:space="preserve">Dans Monstre hunter 3 Ultimate, quel est le nom des deux shakalaka qui nous accompagne dans l'aventure ? </t>
  </si>
  <si>
    <t>Cha-Cha et Kayamba</t>
  </si>
  <si>
    <t>Que représente le pokemon légendaire Reshiram ?</t>
  </si>
  <si>
    <t>L'idéal</t>
  </si>
  <si>
    <t>Dans Pokémon Go combien de pokémon voient leur forme shiny changer par rapport a leur forme de la série principale ?</t>
  </si>
  <si>
    <t>Quel jeu Metroid a les moins bonnes notes selon les aggrégateurs de critique ?</t>
  </si>
  <si>
    <t>Metroid I</t>
  </si>
  <si>
    <t>Dans quel jeu est apparu Yoshi pour la première fois ?</t>
  </si>
  <si>
    <t>Super Mario World</t>
  </si>
  <si>
    <t>Quel est le nom du chien de Yoshi ?</t>
  </si>
  <si>
    <t>Poochy</t>
  </si>
  <si>
    <t>Comment s'appelle le créateur de Pokemon ?</t>
  </si>
  <si>
    <t>Satoshi Tajiri</t>
  </si>
  <si>
    <t>De quelle couleur est la Masterball ?</t>
  </si>
  <si>
    <t>Violette</t>
  </si>
  <si>
    <t>Combien d'épisodes de la série principale GTA sont sortis a ce jour ?</t>
  </si>
  <si>
    <t>Quel est le nom du 5e épisode de Elder Scrolls ?</t>
  </si>
  <si>
    <t>Skyrim</t>
  </si>
  <si>
    <t>Quel effet a le champignon Bleu dans les New Super Mario Bros ?</t>
  </si>
  <si>
    <t>Il rétrécit la taille de Mario</t>
  </si>
  <si>
    <t>Dans Geoguessr, lequel de ces pays n'est pas cartographié ?</t>
  </si>
  <si>
    <t>Cameroun</t>
  </si>
  <si>
    <t>Quel est le personnage principal du Didacticiel de Age Of Empires II ?</t>
  </si>
  <si>
    <t>William Wallace</t>
  </si>
  <si>
    <t>Quel est le premier pokémon donné par le Professeur Chen dans Pokémon Jaune ?</t>
  </si>
  <si>
    <t>Pikachu</t>
  </si>
  <si>
    <t>En quelle année est sortie la Nintendo Switch ?</t>
  </si>
  <si>
    <t>A partir de quel jeu a été créé Counter Strike ?</t>
  </si>
  <si>
    <t>Half Life</t>
  </si>
  <si>
    <t>Quelle est la classe d'Ombrecoeur dans Baldur's Gate 3 ?</t>
  </si>
  <si>
    <t>Clerc</t>
  </si>
  <si>
    <t>Quelle est la date de création de Vitality ?</t>
  </si>
  <si>
    <t>Dans quelle saison et chapitre de fortnite a eu lieu la météorite ?</t>
  </si>
  <si>
    <t>Chapitre 1 Saison 4</t>
  </si>
  <si>
    <t>Dans League of Legends, combien de champions est-il possible de jouer ?</t>
  </si>
  <si>
    <t>Quel est le nom de cette créature très sexy ?</t>
  </si>
  <si>
    <t>Cataquack</t>
  </si>
  <si>
    <t>Quelle est la dernière classe sortie sur Dofus en 2024 ?</t>
  </si>
  <si>
    <t>Forgelance</t>
  </si>
  <si>
    <t>Quelle est la différence entre le Ponyta Shiny de Pokémon Or et celui d'Ecarlate et Violet ?</t>
  </si>
  <si>
    <t>celui de EV est bleu alors que celui de or et argent est gris</t>
  </si>
  <si>
    <t>A quelle date Mario Sport Mix est il sorti en Europe ? (à 1 an près)</t>
  </si>
  <si>
    <t>Combien de jeux dans l'univers de Metroid sont sortis ? (à 2 près)</t>
  </si>
  <si>
    <t>Combien de major tier-S ont gagné vita ? (à 2 près)</t>
  </si>
  <si>
    <t>Combien de couleurs de Yoshi existent ?</t>
  </si>
  <si>
    <t>Qui est le créateur de Yoshi ?</t>
  </si>
  <si>
    <t>Shigefumi Hino</t>
  </si>
  <si>
    <t>Dans combien de jeu est apparu Yoshi ? (à 5 près)</t>
  </si>
  <si>
    <t>Combien de nouveaux pokémons ont été ajoutés à la 7e génération ? (a 5 près)</t>
  </si>
  <si>
    <t>Sur combien d'iles serons nous amenné a voyager au court de l'aventure 7G de Pokémon ? (à 1 près)</t>
  </si>
  <si>
    <t>En quelle année est sorti Pokémon Platine en France ?</t>
  </si>
  <si>
    <t>Langue</t>
  </si>
  <si>
    <t>Qu'est ce que la prétérition ?</t>
  </si>
  <si>
    <t>Feindre de ne pas vouloir parler d'un sujet pour en parler quand mêm</t>
  </si>
  <si>
    <t>Qu'est-ce qu'une anacoluthe ?</t>
  </si>
  <si>
    <t>Figure de style utilisée pour prendre des libertés avec la logique et la syuntaxe afin de sortir des constructions habituelles du discours écrit ou parlé</t>
  </si>
  <si>
    <t>Dans quels pays étaient parlée la langue Quechua ?</t>
  </si>
  <si>
    <t>Pérou, Bolivie, Equateur</t>
  </si>
  <si>
    <t>Citez 3 manières différentes de dire "je t'aime" dans des langues nationales</t>
  </si>
  <si>
    <t>Y en a trop</t>
  </si>
  <si>
    <t>Quel est le grand ensemble auquel appartient les figures de style ?</t>
  </si>
  <si>
    <t>Figure rhétorique</t>
  </si>
  <si>
    <t>Donnez 3 languez Romanes</t>
  </si>
  <si>
    <t>Français, Roumain, Italien, Portugais, Espagnol, Catalan</t>
  </si>
  <si>
    <t>Qu'est-ce qu'un tautogramme ?</t>
  </si>
  <si>
    <t>Une phrase dont tous les mots commencent par la même lettre</t>
  </si>
  <si>
    <t>Qu'est ce qu'une assonance ?</t>
  </si>
  <si>
    <t>La répétition d'une voyelle</t>
  </si>
  <si>
    <t>En quelle année le mot "Wesh" est il apparu dans le Petit Robert ?</t>
  </si>
  <si>
    <t>Combien de livres composent l'œuvre du Roungon-Macquart ?</t>
  </si>
  <si>
    <t>Combine de temps Molière a consacré pour que sa pièce Le Tartuffe soit enfin accepté d'être jouer dans son entièreté ? (à 3 mois près )</t>
  </si>
  <si>
    <t>4 ans et 8 mois</t>
  </si>
  <si>
    <t>Quel auteur a écrit Rhinocéros ?</t>
  </si>
  <si>
    <t>Eugène Ionesco</t>
  </si>
  <si>
    <t>Qui est l'auteur des royaumes du Nord ?</t>
  </si>
  <si>
    <t>Philipp Pullman</t>
  </si>
  <si>
    <t>Quel est l'age approximatif de Frieren la goat ?</t>
  </si>
  <si>
    <t>Plus de 1000 ans</t>
  </si>
  <si>
    <t>Dans le Seigneur des Anneaux, quel est le nom du Roi du Gondor qui fait son retour ?</t>
  </si>
  <si>
    <t>Aragorn</t>
  </si>
  <si>
    <t>Qui a écrit "La Puce à l'oreille" ?</t>
  </si>
  <si>
    <t>Georges Feydeau</t>
  </si>
  <si>
    <t>Mario Kart</t>
  </si>
  <si>
    <t>Combien de points pour une victoire sur Mario Kart 64 ?</t>
  </si>
  <si>
    <t>Combien de WC en 150cc possède actuellement Alberto ?</t>
  </si>
  <si>
    <t>Combien y a-t-il de circuits sur Mario Kart Arcade GP ?</t>
  </si>
  <si>
    <t>Mario kart</t>
  </si>
  <si>
    <t>Quels sont les 5 statistiques présentes sur les véhicules dans MK8D ?</t>
  </si>
  <si>
    <t>Vitesse, accélération, poids, maniabilité, adhérence</t>
  </si>
  <si>
    <t>De quel circuit repris sur MK8DX provient cette image ?</t>
  </si>
  <si>
    <t>GBA Riverside Park</t>
  </si>
  <si>
    <t>Combien de circuits de villes sont dans Mario Kart 8 Deluxe ?</t>
  </si>
  <si>
    <t>A quel circuit appartient ce tracé ?</t>
  </si>
  <si>
    <t>Passage Feuillage</t>
  </si>
  <si>
    <t>Dans quelle coupe est le circuit Route Arc en Ciel ?</t>
  </si>
  <si>
    <t>Coupe Couronne</t>
  </si>
  <si>
    <t>Combien d'épisodes de Mario Kart sur console sont sortis a ce jour ?</t>
  </si>
  <si>
    <t>Musique</t>
  </si>
  <si>
    <t>Qui est le compositeur du célèbre thème de la Panthère Rose ?</t>
  </si>
  <si>
    <t>Henry Mancini</t>
  </si>
  <si>
    <t>Combien de personnes dans le projet 13'Organisé ?</t>
  </si>
  <si>
    <t>Quel instrument est considéré comme étant l'ancetre du piano ?</t>
  </si>
  <si>
    <t>Clavicorde</t>
  </si>
  <si>
    <t>Donnez l'artiste et le nom de l'extrait de cette chanson : "Je viens du ciel et les étoiles entre elles, ne parlent que de toi, d'un musicien qui fait jouer ses mains, sur un morceau de bois"</t>
  </si>
  <si>
    <t>Francis Cabrel - Petite Marie</t>
  </si>
  <si>
    <t>Combien y a-t-il de titres dans l'album "Mauvais Ordre" de Lomepal ?</t>
  </si>
  <si>
    <t>Qui a chanté la chanson "La vie en Rose" ?</t>
  </si>
  <si>
    <t>Edith Piaf</t>
  </si>
  <si>
    <t>L'hymne européen vient d'une symphonie d'un grand compositeur, quel est son nom ?</t>
  </si>
  <si>
    <t>Beethoven</t>
  </si>
  <si>
    <t>Quelle est la première planète citée dans la chason "Rue des Etoiles" de Grégoire ?</t>
  </si>
  <si>
    <t>Vénus</t>
  </si>
  <si>
    <t>Thriller est l'album le plus vendu de l'histoire, mais à combien d'exemplaires s'est-il-vendu ?</t>
  </si>
  <si>
    <t>66 Millions</t>
  </si>
  <si>
    <t>A quels siècle correspons la musique classique ?</t>
  </si>
  <si>
    <t>XVII et XVIIIe</t>
  </si>
  <si>
    <t>Citez les 4 membres des Beatles ?</t>
  </si>
  <si>
    <t>John Lennon, Ringo Starr, George Harisson, Paul McCartney</t>
  </si>
  <si>
    <t xml:space="preserve">Musique </t>
  </si>
  <si>
    <t>Trouvez la chanson correspondant à ces paroles, traduites en français : Oh bébé donne-moi une autre chance (pour te montrer que je t'aime). Je t'en prie, laisse-moi (reprendre ma place dans ton coeur); Oh ma chérie j'étais aveugle de t'avoir laissée partir (de t'avoir laissée partir); Mais à chaque fois que je te vois dans ses bras (Reviens-moi). Oui je le sais (Reviens-moi) </t>
  </si>
  <si>
    <t>I want you back - the jackson 5</t>
  </si>
  <si>
    <t>Sciences</t>
  </si>
  <si>
    <t>Quelle est la valeur de la force gravitationnelle sur Terre ?</t>
  </si>
  <si>
    <t>9,8M/s</t>
  </si>
  <si>
    <t>Quelle est la valence d'un atome d'oxygène ?</t>
  </si>
  <si>
    <t>Quand a eu lieu la crise Crétacé Paléogène ?</t>
  </si>
  <si>
    <t>66 Millions d'Années</t>
  </si>
  <si>
    <t>Combien de plaques tectoniques majeures existent à la surface de la Terre ?</t>
  </si>
  <si>
    <t>Quelle est l'étoiles la plus proche du Soleil ?</t>
  </si>
  <si>
    <t>Proxima Centuri</t>
  </si>
  <si>
    <t>Quel est le test paramétrique qui permet de comparer les moyennes entre 2 groupes ?</t>
  </si>
  <si>
    <t>Test t de student</t>
  </si>
  <si>
    <t>Combien de dent possède un chat adulte ?</t>
  </si>
  <si>
    <t xml:space="preserve">Citez 10 éléments du tableau périodique </t>
  </si>
  <si>
    <t>Hydrogène, hélium, lithium, béryllium, bore, carbone, azote, oxygène, fluor, néon...</t>
  </si>
  <si>
    <t>Quelle est la composition en pourcentage en diazote dans l'air à 2% pres ?</t>
  </si>
  <si>
    <t>Quel est le type d'ARN qui donne des protéines ?</t>
  </si>
  <si>
    <t>l'ARN messager</t>
  </si>
  <si>
    <t>Met on l'acide dans l'eau ou l'eau dans l'acide ?</t>
  </si>
  <si>
    <t>Acide dans l'eau</t>
  </si>
  <si>
    <t>Impossible</t>
  </si>
  <si>
    <t>Quel est l'enthalpie de formation de l'urée a l'état solide ?</t>
  </si>
  <si>
    <t>-333,2 kJ / mol</t>
  </si>
  <si>
    <t>Quel est le pKa d'un proton sur un carbone sp3 en alpha d'une fonction cétone ?</t>
  </si>
  <si>
    <t>Entre 16 et 21</t>
  </si>
  <si>
    <t>Quel est le point de fusion en °C du cis-But-2-ène ? (a 10°C près)</t>
  </si>
  <si>
    <t>-139°C</t>
  </si>
  <si>
    <t>Quel est le nom du bruit que produit la cigogne ?</t>
  </si>
  <si>
    <t>Le craquètement</t>
  </si>
  <si>
    <t>De quelle constellation Sirius est-elle l'étoile principale</t>
  </si>
  <si>
    <t>Constellation du Chien</t>
  </si>
  <si>
    <t>Quel sont les valeurs minimale et maximale d'un octet dans une adresse IPv4?</t>
  </si>
  <si>
    <t>0 a 255</t>
  </si>
  <si>
    <t>Quelle est la fonction principale de la Mitochondrie ?</t>
  </si>
  <si>
    <t>Elle permet de fabriquer l'énergie pour les cellules</t>
  </si>
  <si>
    <t>A 1 Milliard près, à combien de kilomètres équivaut un parsec ?</t>
  </si>
  <si>
    <t>30,9 Millairds</t>
  </si>
  <si>
    <t>Quel procédé chimique se cache derrière le terme de saponification ?</t>
  </si>
  <si>
    <t>La production de savons à partir d'un corps gras et d'une base (la soude par exemple)</t>
  </si>
  <si>
    <t xml:space="preserve">Avec quel outil de mesure fait-on une vérification d'absence hors tension </t>
  </si>
  <si>
    <t>VAT</t>
  </si>
  <si>
    <t>Société</t>
  </si>
  <si>
    <t>Quel type d'alcool est interdit au travail ?</t>
  </si>
  <si>
    <t xml:space="preserve">Les alcools forts </t>
  </si>
  <si>
    <t>Dans quel chanson Goldman commence par《Elle avait les yeux clairs et la robe en velours. À côté de sa mère et la famille autour》</t>
  </si>
  <si>
    <t>Comme toi (JJ Goldman)</t>
  </si>
  <si>
    <t>Combien d'animateurs de Fort Boyard se sont succédés depuis 1990 ?</t>
  </si>
  <si>
    <t>Qui est l'acteur historique de Père Fouras ?</t>
  </si>
  <si>
    <t>Yann Le Gac</t>
  </si>
  <si>
    <t>A 3 prêt combien de variété de Pomme de Terre existent en France ?</t>
  </si>
  <si>
    <t>Qui détient le record de gain dans l'émission Fort Boyard?</t>
  </si>
  <si>
    <t>Les Yamakasi</t>
  </si>
  <si>
    <t>Combien de personnages sont restés au moins 10 ans dans l'émission Fort Boyard ?</t>
  </si>
  <si>
    <t>Citez 2 des 3 grands principe du contentieux administratif en France?</t>
  </si>
  <si>
    <t>Contradictoire, Inquisitoire, Ecrit</t>
  </si>
  <si>
    <t xml:space="preserve">Combien de pièce contient le plus grand set lego officiel à 200 ou 500 pièce prêt ? (Plus grand en nombre de pièce pas en taille) </t>
  </si>
  <si>
    <t>La carte du monde avec 11695 pièces</t>
  </si>
  <si>
    <t>Quel est le nom du premier président des Etats Unis ?</t>
  </si>
  <si>
    <t>George Washington</t>
  </si>
  <si>
    <t>Quel est le sens de circulation principal des trains en Belgique, en France et en Suisse?</t>
  </si>
  <si>
    <t>A gauche</t>
  </si>
  <si>
    <t>Combien de couleurs différentes il y a t'il sur le drapeau britannique ?</t>
  </si>
  <si>
    <t>Que symbolisent les étoiles du drapeau des Etats-Unis ?</t>
  </si>
  <si>
    <t>Les Etats membres</t>
  </si>
  <si>
    <t>Citez au moins 2 crudités habituellement trouvées dans un banh mi ?</t>
  </si>
  <si>
    <t>Carottes rapées, Concombre, Radis, Coriandre</t>
  </si>
  <si>
    <t>Quel effet va avoir une marinade d'oignons sur la viande rouge ?</t>
  </si>
  <si>
    <t>Ca va l'attendrir</t>
  </si>
  <si>
    <t>Quel champignon est habituellement utilisé comme un substitut du bœuf, et peut être utilisé pour des burgers par exemple ?</t>
  </si>
  <si>
    <t>Le Portobello</t>
  </si>
  <si>
    <t>Quelle est la fonction d'affichage en Python ?</t>
  </si>
  <si>
    <t>print</t>
  </si>
  <si>
    <t>Quel est le premier chiffre de la carte vitale d'une femme</t>
  </si>
  <si>
    <t>Quel objet a été utilisé à Fort Boyard lors des saisons 2007 et 2008 pour l'épreuve du casse-tête de Maître Tchan</t>
  </si>
  <si>
    <t>Tangram</t>
  </si>
  <si>
    <t>Combien vaut 1€ en Franc Français ?</t>
  </si>
  <si>
    <t>6,55957F = 1€</t>
  </si>
  <si>
    <t>Quelle est l'espèce la plus cultivée en France</t>
  </si>
  <si>
    <t>La Bintje</t>
  </si>
  <si>
    <t>Quel est le record d'audience pour l'émission Fort Boyard (a 1 million près) ?</t>
  </si>
  <si>
    <t>11 580 000 en 1991</t>
  </si>
  <si>
    <t>Quel plat originaire des colonies portugaise est composé d'haricots noir et de viandes de porc ?</t>
  </si>
  <si>
    <t>La Feijoada</t>
  </si>
  <si>
    <t>Quelle est la composition des Knödel, une spécialité culinaire issue de Bavière ?</t>
  </si>
  <si>
    <t>Pomme de Terre et Pain</t>
  </si>
  <si>
    <t>Sport</t>
  </si>
  <si>
    <t>Combien de championnats de France de D1 a gagné le HBC Nantes ?</t>
  </si>
  <si>
    <t>Combien de joueurs de foot ont remporté plus d'une coupe du monde en tant que joueur ?</t>
  </si>
  <si>
    <t>Quel est le nom du groupe d'ultra de l'OM placé en haut du virage SUD</t>
  </si>
  <si>
    <t>South Winners</t>
  </si>
  <si>
    <t>Quel circuit a vu le plus d'accidents mortels se produire en Formule 1 ?</t>
  </si>
  <si>
    <t>Indianapolis</t>
  </si>
  <si>
    <t>La LIH, ancêtre de la LNH a été fondée en quelle année ? (à 5 ans près)</t>
  </si>
  <si>
    <t>Quel est le premier champion de Moto GP ?</t>
  </si>
  <si>
    <t>Valentino Rossi</t>
  </si>
  <si>
    <t>Quelle est la dernière année ou un Français a gagné le tour de France cycliste ?</t>
  </si>
  <si>
    <t>Combein de titres de champions du Monde a remporté Teddy Riner ?</t>
  </si>
  <si>
    <t>Quel est le surnom donné a l'équipe de France de Handball qui a gagné le titre mondial en 1995 ?</t>
  </si>
  <si>
    <t>Les Barjots</t>
  </si>
  <si>
    <t>Combien de Ligues des Champions de Football ont été remportées par Nottingham Forrest ?</t>
  </si>
  <si>
    <t>Combein de Ballons d'Or Zidane a-t-il obtenu ?</t>
  </si>
  <si>
    <t>Combein de Clubs a fait Francesco Totti dans sa carrière pro ?</t>
  </si>
  <si>
    <t>Combien de points rapportent un but en Football Gaelique ?</t>
  </si>
  <si>
    <t>Qui a gagné l'euro 2016 de football ?</t>
  </si>
  <si>
    <t>Portugal</t>
  </si>
  <si>
    <t>Quel est le pays qui a remporté le plus de médailles aux jeux olympiques ?</t>
  </si>
  <si>
    <t>les Etats Unis</t>
  </si>
  <si>
    <t>Quelle région de la France métropolitaine ne possède aucun club de football dans une division professionnelle (Et est la seule) ?</t>
  </si>
  <si>
    <t>Centre-Val de Loire</t>
  </si>
  <si>
    <t>Qui sont les 2 pilotes avec le plus de titres de champion du monde</t>
  </si>
  <si>
    <t>Lewis Hamilton et Michael Schumacher</t>
  </si>
  <si>
    <t>Qui a le plus grand nombre de victoires d'affiliées en Formule 1 ?</t>
  </si>
  <si>
    <t>Max Verstappen (10)</t>
  </si>
  <si>
    <t>A 10 près , à combien de matchs le Brésil a-t-il participé en coupe du monde de Football ?</t>
  </si>
  <si>
    <t>Quel est le pays qui a le plus gagné de grand prix dans son histoire ?</t>
  </si>
  <si>
    <t>Royaume-Uni</t>
  </si>
  <si>
    <t>Quel est le circuit le plus long du championnat de F1 en 2025 ?</t>
  </si>
  <si>
    <t>Spa-Francorchamps</t>
  </si>
  <si>
    <t>Quelle est la différence majeure entre le hockey masculin et féminin ?</t>
  </si>
  <si>
    <t>Les charges sont interdites chez les femmes</t>
  </si>
  <si>
    <t>Le Hockey sur Glace est arrivé par quel pays sur le continent européen ?</t>
  </si>
  <si>
    <t>La France</t>
  </si>
  <si>
    <t>Citez 5 pays ou la Formule 1 fait un week-end de Grand Prix pour la saison 2025 ?</t>
  </si>
  <si>
    <t>cf le calendrier</t>
  </si>
  <si>
    <t>Quelle ville française a organisé les jeux olympiques d'hiver de 1992 ?</t>
  </si>
  <si>
    <t>Albertville</t>
  </si>
  <si>
    <t>Quel est le vrai prénom du catcheur Rey Mysterio ?</t>
  </si>
  <si>
    <t>Óscar Gutiérrez Rubio</t>
  </si>
  <si>
    <t>Comment appelle-t-on la plume qui n'a pas la même couleur que les 2 autres sur une flèche de tir a l'arc ?</t>
  </si>
  <si>
    <t>Le coq</t>
  </si>
  <si>
    <t>Quel est le nom du catcheur italien de la WWE qui étrait en réalité canadien ?</t>
  </si>
  <si>
    <t>Santino Marella</t>
  </si>
  <si>
    <t>Quel est le sport national de la Mongolie ?</t>
  </si>
  <si>
    <t>La lutte</t>
  </si>
  <si>
    <t>Qui est le vainqueur du grand prix de Monza 2020</t>
  </si>
  <si>
    <t>Pierre Gasly</t>
  </si>
  <si>
    <t>Dans quelle écurie à été titré à 3 reprises Ayrton Senna</t>
  </si>
  <si>
    <t>McLaren</t>
  </si>
  <si>
    <t>En hockey combien d'éléments de surface de la tenue d'un joueur de champ qui ne changent pas de couleur à l'extérieur?</t>
  </si>
  <si>
    <t>Combien de fois Fnatic a gagné la LEC ?</t>
  </si>
  <si>
    <t>Combien de saisons ont vu la Scuderia Ferrari participer au championnat (à 5 près) ?</t>
  </si>
  <si>
    <t>Quel pilote a le meilleur ratio courses/victoires ?</t>
  </si>
  <si>
    <t>Fangio</t>
  </si>
  <si>
    <t>En quelle année a été joué le premier match de Hockey sur Glace en intérieur ? (à 5 ans près)</t>
  </si>
  <si>
    <t>Quel club européen a remporté le plus de Ligue des Champions ?</t>
  </si>
  <si>
    <t>Frölunda HC</t>
  </si>
  <si>
    <t>Joueur</t>
  </si>
  <si>
    <t>Couleur</t>
  </si>
  <si>
    <t>Question 1</t>
  </si>
  <si>
    <t>Réponse 1</t>
  </si>
  <si>
    <t>Question 2</t>
  </si>
  <si>
    <t>Réponse 2</t>
  </si>
  <si>
    <t>Question 3</t>
  </si>
  <si>
    <t>Réponse 3</t>
  </si>
  <si>
    <t>Question 4</t>
  </si>
  <si>
    <t>Réponse 4</t>
  </si>
  <si>
    <t>Question 5</t>
  </si>
  <si>
    <t>Réponse 5</t>
  </si>
  <si>
    <t>Blue</t>
  </si>
  <si>
    <t>Bleu Foncé</t>
  </si>
  <si>
    <t>Pokémon X&amp;Y</t>
  </si>
  <si>
    <t>Quel type de Pokémon est Dracaufeu après sa Méga-évolution dans Pokémon X ?</t>
  </si>
  <si>
    <t>Feu/dragon</t>
  </si>
  <si>
    <t>Quel est le nom du tournois secondaire où l’on affronte des champions d’arènes d’autres régions ?</t>
  </si>
  <si>
    <t>Le Dome bataille</t>
  </si>
  <si>
    <t>Quel est le seul Pokémon de la 6G capable d’apprendre lien du destion via niveau ?</t>
  </si>
  <si>
    <t>Hoopa forme de base</t>
  </si>
  <si>
    <t xml:space="preserve"> Combien de nouveaux Pokémon (hors Méga-évolutions) ont été introduits dans Pokémon X &amp; Y ?</t>
  </si>
  <si>
    <t>Combien de pas sont nécessaires pour faire éclore un Œuf de Noeunoeuf</t>
  </si>
  <si>
    <t>10 240 pas (soit le double pour un oeuf normal</t>
  </si>
  <si>
    <t>Lopes</t>
  </si>
  <si>
    <t>One Piece</t>
  </si>
  <si>
    <t>Quelle est la date de sortie initiale du premier chapitre de One Piece</t>
  </si>
  <si>
    <t>A 2 près, combien de jeux estampillés One Piece sont parus à ce jour ?</t>
  </si>
  <si>
    <t>Qui est le compositeur de a bande originale de One Piece ?</t>
  </si>
  <si>
    <t>Monrio Erricone Jr</t>
  </si>
  <si>
    <t>Quelle est la prime actuelle de Luffy ? (Tome 104)</t>
  </si>
  <si>
    <t>4 Milliards de Berry</t>
  </si>
  <si>
    <t>Quel est le nom du Restaurant ou travaillait Sanji quand Luffy l'a récupéré ?</t>
  </si>
  <si>
    <t>Le Baratie</t>
  </si>
  <si>
    <t>Zaku</t>
  </si>
  <si>
    <t>Orange</t>
  </si>
  <si>
    <t>Théo Hernandez</t>
  </si>
  <si>
    <t>Dans combien de clubs pro Theo Hernandez a-t-il joué ?</t>
  </si>
  <si>
    <t>Quel est le 3e prénom de Théo Hernandez ?</t>
  </si>
  <si>
    <t>François</t>
  </si>
  <si>
    <t>Combien de fois a-t-il été nommé dans l'équipe type de Série A ?</t>
  </si>
  <si>
    <t>Quelle est la date de la première sélection en équipe de France ?</t>
  </si>
  <si>
    <t>26 aout 2021</t>
  </si>
  <si>
    <t>Combien de matchs a-t-il disputé avec l'Atletico Madrid</t>
  </si>
  <si>
    <t>Babao</t>
  </si>
  <si>
    <t>Rose</t>
  </si>
  <si>
    <t>WWE depuis 2020</t>
  </si>
  <si>
    <t>Qui a gagné le Royal Rumble masculin en 2021 ?</t>
  </si>
  <si>
    <t>Edge</t>
  </si>
  <si>
    <t>Qui a battu Roman Reigns pour le titre universel à WrestleMania 40</t>
  </si>
  <si>
    <t>Cody Rhodes</t>
  </si>
  <si>
    <t>Quelle catcheuse a détenu le titre RAW Women’s Championship le plus longtemps entre 2020 et 2021 et combien de jours ?</t>
  </si>
  <si>
    <t>Asuka (231 jours)</t>
  </si>
  <si>
    <t>Qui a gagné le Royal Rumble et WrestleMania la même année depuis 2020 ?</t>
  </si>
  <si>
    <t xml:space="preserve"> Bianca Belair (2021)</t>
  </si>
  <si>
    <t>Combien de jours Roman Reigns a-t-il été champion universel avant de perdre à WrestleMania 40 ?</t>
  </si>
  <si>
    <t>1 316 jours</t>
  </si>
  <si>
    <t>Titi</t>
  </si>
  <si>
    <t>#f25d25</t>
  </si>
  <si>
    <t>L'astrophysique stellaire, un thème pour les passionnés de quasars, trous noirs ou autres objets de destruction massive</t>
  </si>
  <si>
    <t>Jusqu’à combien de gauss font les champs magnétiques des Magnétars ?</t>
  </si>
  <si>
    <t>10^15 gauss</t>
  </si>
  <si>
    <t>De quoi le quasar est il un acronyme ?</t>
  </si>
  <si>
    <t>Quasi Stellar Rasio Source</t>
  </si>
  <si>
    <t>Combien de fois la masse du soleil fait le trou noir le plus lourd le plus fiablement observé ?</t>
  </si>
  <si>
    <t>66 milliards</t>
  </si>
  <si>
    <t>Quel élément est originaire des Supernovae de type Ia mais pas  des supernovae de type II ?</t>
  </si>
  <si>
    <t>Le Nickel</t>
  </si>
  <si>
    <t>Quel évènement astrostellaire aurait provoqué la disparition massive de l'ordovicien ?</t>
  </si>
  <si>
    <t>Un sursaut gamma</t>
  </si>
  <si>
    <t>Sam</t>
  </si>
  <si>
    <t>Vert</t>
  </si>
  <si>
    <t>Zelda Breath of the Wild</t>
  </si>
  <si>
    <t>Quel est le nombre exact de sanctuaires présents dans le jeu principal</t>
  </si>
  <si>
    <t>Quel est le nom du boss final dans la créature divine Vah Naboris ?</t>
  </si>
  <si>
    <t>Ganon foudre</t>
  </si>
  <si>
    <t>Comment s’appelle le mini-jeu situé dans la plaine de Firone qui permet de faire voler Link sur un boulet de canon ?</t>
  </si>
  <si>
    <t>Volley-Pierre</t>
  </si>
  <si>
    <t>Quel ingrédient rare est requis pour améliorer l’armure de Barbare au niveau 4 chez les grandes fées ?</t>
  </si>
  <si>
    <t>Cornes de Lynel Blanc</t>
  </si>
  <si>
    <t>Le nom complet du scientifique excentrique vivant dans le village dElimith qui a rajeuni ?</t>
  </si>
  <si>
    <t>Pru'ha</t>
  </si>
  <si>
    <t>Oblon</t>
  </si>
  <si>
    <t>Violet</t>
  </si>
  <si>
    <t>Fallout 4</t>
  </si>
  <si>
    <t>Quelle est la date de sortie initiale de Fallout 4 ?</t>
  </si>
  <si>
    <t>Combien de centres urbains existent dans le jeu (DLC Compris) ?</t>
  </si>
  <si>
    <t>Quel est le nom du compositeur de la bande originale du jeu ?</t>
  </si>
  <si>
    <t>Inon Zur</t>
  </si>
  <si>
    <t>Quel est le nom de l'acteur pouvant intégrer le personnage principal ?</t>
  </si>
  <si>
    <t>Brian T. Delaney</t>
  </si>
  <si>
    <t>Quel est le role de Nick Valentine ?</t>
  </si>
  <si>
    <t>Il aide le joueur a retrouver l'enfant perdu</t>
  </si>
  <si>
    <t>Kevix</t>
  </si>
  <si>
    <t>#c756F4</t>
  </si>
  <si>
    <t>Monster Hunter Wilds</t>
  </si>
  <si>
    <t>Combien y a-t-il de monstres distincts dans le jeu ?</t>
  </si>
  <si>
    <t>Quel est le point de départ de l'aventure ?</t>
  </si>
  <si>
    <t>Village des Vents Murmurants</t>
  </si>
  <si>
    <t>Combien de joueurs en simultané y a-t-il eu au maximum a 100 000 pres ?</t>
  </si>
  <si>
    <t>1384608 joueurs</t>
  </si>
  <si>
    <t>Quel est le plus grand monstre du jeu ?</t>
  </si>
  <si>
    <t>Jin Dahad</t>
  </si>
  <si>
    <t>Quelle est la taille minimale en centimètres du plus petit grand monstre du jeu (a 10cm près) ?</t>
  </si>
  <si>
    <t>443,48 cm</t>
  </si>
  <si>
    <t>ChatNinja</t>
  </si>
  <si>
    <t>#ddcba4</t>
  </si>
  <si>
    <t>les Pokémons shinys sur toutes les générations (sauf pokémon go, les animés et pokémon colosseum)</t>
  </si>
  <si>
    <t>Quels sont les couleurs de dracaufeau shiny en 2eme génération</t>
  </si>
  <si>
    <t>Violet et Vert</t>
  </si>
  <si>
    <t>quels sont les différances entre ponita shiny de la 9 et 2g</t>
  </si>
  <si>
    <t>l'un à des flammes bleu alors que l'autre et juste grisé</t>
  </si>
  <si>
    <t>Combien il y a de pokémon shiny lock dans Légend Arceus ?</t>
  </si>
  <si>
    <t>Quels sont les pokémons shiny offert dans pokémon noir 2</t>
  </si>
  <si>
    <t>il y en a 2 possible mais 1 par jeu, celui donné par le petit fils de l'ancien maitre (griknote ou mini draco)</t>
  </si>
  <si>
    <t>Comment obtenir le Tranchodon shiny de la Réserve naturelle de pokémon blanc 2 ?</t>
  </si>
  <si>
    <t>avoir complété votre Pokédex Régional, avoir obtenu le Permis, puis vous rendre à l'aéroport de Parsemille</t>
  </si>
  <si>
    <t>Ayren</t>
  </si>
  <si>
    <t>#e03f3a</t>
  </si>
  <si>
    <t>Pokémon</t>
  </si>
  <si>
    <t>Quel est le premier Pokémon du Pokédex National ?</t>
  </si>
  <si>
    <t>Bulbizarre</t>
  </si>
  <si>
    <t>Quel Pokémon de type Plante évolue en Héliatronc utilisant une Pierre Soleil ?</t>
  </si>
  <si>
    <t>Tournegrin</t>
  </si>
  <si>
    <t>En anglais, Comment s’appelle l’évolution de Évoli obtenue avec une pierre lune ?</t>
  </si>
  <si>
    <t>Umbreon</t>
  </si>
  <si>
    <t>Quel est le pokémon fabuleux qui a la capacité de voyager dans les temps ?</t>
  </si>
  <si>
    <t>Celebite</t>
  </si>
  <si>
    <t xml:space="preserve">Combien d'espèce de Pokémon existent au total ? </t>
  </si>
  <si>
    <t>Yegzu</t>
  </si>
  <si>
    <t>Bleu clair</t>
  </si>
  <si>
    <t>E-sport Valo</t>
  </si>
  <si>
    <t>Quelle équipe a remporté le tout premier Championnat du Monde (VCT) de Valorant en 2021 ?</t>
  </si>
  <si>
    <t>Acend (Europe)</t>
  </si>
  <si>
    <t>Quel joueur légendaire de CS:GO a rejoint l'équipe Sentinels pour jouer à Valorant ?</t>
  </si>
  <si>
    <t>Tyson "TenZ" Ngo</t>
  </si>
  <si>
    <t>Lors du VCT 2023, quelle organisation a réalisé le "Lower Bracket Run" le plus impressionnant en remportant 6 matchs d'affilée ?</t>
  </si>
  <si>
    <t>Fnatic</t>
  </si>
  <si>
    <t>Quel est le seul joueur à avoir remporté deux Championnats du Monde (VCT) avec deux équipes différentes ?</t>
  </si>
  <si>
    <t>Jake "Boaster" Howlett</t>
  </si>
  <si>
    <t>Combien de rounds parfaits ont été joués pendant toute la phase finale du VTC 2023 ?</t>
  </si>
  <si>
    <t xml:space="preserve">3 rounds parfaits </t>
  </si>
  <si>
    <t>Hapr</t>
  </si>
  <si>
    <t>Les jeux vidéos des années 90</t>
  </si>
  <si>
    <t>Combien de jeux Final Fantasy sont sortis entre 1990 et 2000</t>
  </si>
  <si>
    <t>Quel jeu est considéré comme le père des FPS modernes ?</t>
  </si>
  <si>
    <t>Doom</t>
  </si>
  <si>
    <t>Combien de civilisations étaient disponibles a la sortie de Age of Empires 1 ?</t>
  </si>
  <si>
    <t>A quoi correspond MissingNo dans Pokémon Rouge et Bleu ?</t>
  </si>
  <si>
    <t>C'est un pokémon permettant d'éviter les messages d'erreur en cas de rencontres imprévues</t>
  </si>
  <si>
    <t>Quelle est la date de sortie de Sonic the Hedgehog sur MegaDrive en Europe ?</t>
  </si>
  <si>
    <t>Pampo</t>
  </si>
  <si>
    <t>Bleu</t>
  </si>
  <si>
    <t>Kpop</t>
  </si>
  <si>
    <t>Quel est le premier groupe de l'histoire de la KPOP ?</t>
  </si>
  <si>
    <t>Seo Taiji &amp; Boys</t>
  </si>
  <si>
    <t>Quel est l'album le plus vendu de l'histoire de la KPOP ?</t>
  </si>
  <si>
    <t>FML</t>
  </si>
  <si>
    <t>Cite les différents membres du groupe BTS</t>
  </si>
  <si>
    <t>RM, Jin, Suga, J-Hope, Jimin, V (ou Taehyung), Jungkook</t>
  </si>
  <si>
    <t>Quel est le premier album a avoir atteint le Top 10 des ventes iTunes ?</t>
  </si>
  <si>
    <t>Tonight</t>
  </si>
  <si>
    <t>Cite 3 groupes ayant participé a la premier K-CON à Paris en 2016 ?</t>
  </si>
  <si>
    <t>Block B, BTS, F.T. Island, f(x), I.O.I, Super Junior, ShiNee</t>
  </si>
  <si>
    <t>Nora</t>
  </si>
  <si>
    <t>Les plantes d'intérieur</t>
  </si>
  <si>
    <t>Quelle est la première map ou Pixel la plante d'intérieur de la KW, a-t-il fait un top 10 pour la première fois ?</t>
  </si>
  <si>
    <t>Circuit Yoshi</t>
  </si>
  <si>
    <t>Cite 2 espèces de citronnier d'intérieur</t>
  </si>
  <si>
    <t>citronnier Nain Meyer, Ponderosa nain, Pink Lemonade</t>
  </si>
  <si>
    <t>Quel est le mode de pousse du Chlorophytum ?</t>
  </si>
  <si>
    <t>Elle pousse comme un fraisier en produisant des stolons</t>
  </si>
  <si>
    <t>Quelle est la couleur de la fleur de la Calathea crocata ?</t>
  </si>
  <si>
    <t>orange</t>
  </si>
  <si>
    <t>Quel est l'autre nom du Cleistocactus colademononis ?</t>
  </si>
  <si>
    <t>Cactus queue de singe</t>
  </si>
  <si>
    <t>Otta</t>
  </si>
  <si>
    <t>#cb99c9</t>
  </si>
  <si>
    <t>Rap français 2015-2020</t>
  </si>
  <si>
    <t>Qui est le rappeur français ayant vendu le plus d'album sur la période ?</t>
  </si>
  <si>
    <t>Jul</t>
  </si>
  <si>
    <t>Quel chanteur pop est présent sur l'album Feu de Nekfeu ?</t>
  </si>
  <si>
    <t>Ed Sheeran</t>
  </si>
  <si>
    <t>Quelle certification a obtenu l'album La Vie de Rêve de Big Flo et Oli ?</t>
  </si>
  <si>
    <t>Triple disque de Platine</t>
  </si>
  <si>
    <t>Quel est le nom de la chanson de Keny Arkana, sortie en 2017 sur l'esquisse 3, ou elle est en feat avec Lino et Médine ?</t>
  </si>
  <si>
    <t>Couleur Mototov</t>
  </si>
  <si>
    <t>Quel est le nom du feat entre Kery James et Orelsan sorti à l'occasion de la sortie de Banlieusards ?</t>
  </si>
  <si>
    <t>A qui la faute ?</t>
  </si>
  <si>
    <t>salut wsh</t>
  </si>
  <si>
    <t>chat</t>
  </si>
  <si>
    <t>ZZZZZZZZZZZ</t>
  </si>
  <si>
    <t>zaku</t>
  </si>
  <si>
    <t>kevix</t>
  </si>
  <si>
    <t>malus</t>
  </si>
  <si>
    <t>récap</t>
  </si>
  <si>
    <t>bonus</t>
  </si>
  <si>
    <t>total q10</t>
  </si>
  <si>
    <t>d</t>
  </si>
  <si>
    <t>a</t>
  </si>
  <si>
    <t>lancé 2eme</t>
  </si>
  <si>
    <t>rien</t>
  </si>
  <si>
    <t>protection</t>
  </si>
  <si>
    <t>protec</t>
  </si>
  <si>
    <t>riposte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</si>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</sst>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282828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scheme val="minor"/>
    </font>
    <font>
      <sz val="12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  <xf numFmtId="0" fontId="3" fillId="0" borderId="2" xfId="0" applyFont="1" applyBorder="1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5" fillId="0" borderId="2" xfId="0" applyFont="1" applyBorder="1"/>
    <xf numFmtId="15" fontId="0" fillId="0" borderId="0" xfId="0" applyNumberFormat="1"/>
    <xf numFmtId="0" fontId="9" fillId="0" borderId="0" xfId="0" applyFont="1"/>
    <xf numFmtId="0" fontId="10" fillId="0" borderId="0" xfId="0" applyFont="1"/>
    <xf numFmtId="9" fontId="0" fillId="2" borderId="0" xfId="0" applyNumberFormat="1" applyFill="1"/>
    <xf numFmtId="0" fontId="0" fillId="2" borderId="0" xfId="0" applyFill="1" applyAlignment="1">
      <alignment wrapText="1"/>
    </xf>
    <xf numFmtId="0" fontId="0" fillId="3" borderId="3" xfId="0" applyFill="1" applyBorder="1"/>
    <xf numFmtId="0" fontId="0" fillId="3" borderId="0" xfId="0" applyFill="1"/>
    <xf numFmtId="0" fontId="1" fillId="0" borderId="0" xfId="0" applyFont="1"/>
    <xf numFmtId="0" fontId="1" fillId="3" borderId="0" xfId="0" applyFont="1" applyFill="1"/>
    <xf numFmtId="15" fontId="1" fillId="0" borderId="0" xfId="0" applyNumberFormat="1" applyFont="1"/>
  </cellXfs>
  <cellStyles count="1">
    <cellStyle name="Normal" xfId="0" builtinId="0"/>
  </cellStyles>
  <dxfs count="20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AB227-8204-45B4-9A97-AADF442EABAB}" name="Tableau1" displayName="Tableau1" ref="A1:D218" totalsRowShown="0" tableBorderDxfId="19">
  <autoFilter ref="A1:D218" xr:uid="{7A4AB227-8204-45B4-9A97-AADF442EABAB}"/>
  <sortState xmlns:xlrd2="http://schemas.microsoft.com/office/spreadsheetml/2017/richdata2" ref="A2:D218">
    <sortCondition ref="B1:B218"/>
  </sortState>
  <tableColumns count="4">
    <tableColumn id="1" xr3:uid="{6AD25BE6-ED65-405D-9E1F-70ECB91F4EFC}" name="Difficulté" dataDxfId="18"/>
    <tableColumn id="2" xr3:uid="{940F66C0-D340-4DAF-88E1-BE3805B8A497}" name="Thème" dataDxfId="17"/>
    <tableColumn id="3" xr3:uid="{57355911-9231-44F7-B201-ABFB1A688306}" name="Question" dataDxfId="16"/>
    <tableColumn id="4" xr3:uid="{8082EFD0-BC63-4595-B700-69D27949E394}" name="Réponse" dataDxfId="1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CE2DFD-07E6-45D5-9006-DA697D323905}" name="Tableau2" displayName="Tableau2" ref="A1:M21" totalsRowShown="0" headerRowDxfId="14" dataDxfId="13">
  <autoFilter ref="A1:M21" xr:uid="{A2CE2DFD-07E6-45D5-9006-DA697D323905}"/>
  <tableColumns count="13">
    <tableColumn id="1" xr3:uid="{842092C9-6CD5-482D-8168-BFA0745AAA99}" name="Joueur" dataDxfId="12"/>
    <tableColumn id="2" xr3:uid="{BDCC646F-285E-403C-9CCE-854794A7262D}" name="Couleur" dataDxfId="11"/>
    <tableColumn id="3" xr3:uid="{437CD6A8-E83A-4337-A335-327181F50C52}" name="Thème" dataDxfId="10"/>
    <tableColumn id="4" xr3:uid="{72324928-F052-4903-BED3-986068FBE83E}" name="Question 1" dataDxfId="9"/>
    <tableColumn id="5" xr3:uid="{738611F0-2176-4192-B3CD-D8629770A42B}" name="Réponse 1" dataDxfId="8"/>
    <tableColumn id="6" xr3:uid="{99103D02-BC6C-4DA0-8092-21844A6EA4E1}" name="Question 2" dataDxfId="7"/>
    <tableColumn id="7" xr3:uid="{0AE9B364-65D1-40D5-B416-8B23C43B2BCA}" name="Réponse 2" dataDxfId="6"/>
    <tableColumn id="8" xr3:uid="{709BFB47-D07F-4E0C-8457-3819911A0A87}" name="Question 3" dataDxfId="5"/>
    <tableColumn id="9" xr3:uid="{8274776B-A890-4271-B832-39C5D00AB83F}" name="Réponse 3" dataDxfId="4"/>
    <tableColumn id="10" xr3:uid="{9FC616D2-2804-4899-A7A2-05FFF606272E}" name="Question 4" dataDxfId="3"/>
    <tableColumn id="11" xr3:uid="{67C1AB1E-9AC7-4BB1-8CCE-3FA0EF125641}" name="Réponse 4" dataDxfId="2"/>
    <tableColumn id="12" xr3:uid="{BC3AD6C7-DAD0-40DE-BE6F-A0A74E6095BF}" name="Question 5" dataDxfId="1"/>
    <tableColumn id="13" xr3:uid="{5E87E078-23AD-4755-8FE0-966DC9B98139}" name="Réponse 5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>
      <selection activeCell="C227" sqref="C227"/>
    </sheetView>
  </sheetViews>
  <sheetFormatPr defaultColWidth="9.140625" defaultRowHeight="15"/>
  <cols>
    <col min="1" max="1" width="11.42578125" customWidth="1"/>
    <col min="2" max="2" width="12" bestFit="1" customWidth="1"/>
    <col min="3" max="3" width="255.7109375" bestFit="1" customWidth="1"/>
    <col min="4" max="4" width="77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s="1" t="s">
        <v>4</v>
      </c>
      <c r="B4" s="2" t="s">
        <v>5</v>
      </c>
      <c r="C4" s="2" t="s">
        <v>10</v>
      </c>
      <c r="D4" s="2" t="s">
        <v>11</v>
      </c>
    </row>
    <row r="5" spans="1:4">
      <c r="A5" s="1" t="s">
        <v>4</v>
      </c>
      <c r="B5" s="2" t="s">
        <v>5</v>
      </c>
      <c r="C5" s="2" t="s">
        <v>12</v>
      </c>
      <c r="D5" s="2" t="s">
        <v>13</v>
      </c>
    </row>
    <row r="6" spans="1:4">
      <c r="A6" s="1" t="s">
        <v>4</v>
      </c>
      <c r="B6" s="2" t="s">
        <v>5</v>
      </c>
      <c r="C6" s="2" t="s">
        <v>14</v>
      </c>
      <c r="D6" s="2" t="s">
        <v>15</v>
      </c>
    </row>
    <row r="7" spans="1:4" s="6" customFormat="1">
      <c r="A7" s="6" t="s">
        <v>16</v>
      </c>
      <c r="B7" s="6" t="s">
        <v>5</v>
      </c>
      <c r="C7" s="6" t="s">
        <v>17</v>
      </c>
      <c r="D7" s="6" t="s">
        <v>18</v>
      </c>
    </row>
    <row r="8" spans="1:4">
      <c r="A8" t="s">
        <v>16</v>
      </c>
      <c r="B8" t="s">
        <v>5</v>
      </c>
      <c r="C8" t="s">
        <v>19</v>
      </c>
      <c r="D8" t="s">
        <v>20</v>
      </c>
    </row>
    <row r="9" spans="1:4">
      <c r="A9" t="s">
        <v>16</v>
      </c>
      <c r="B9" t="s">
        <v>5</v>
      </c>
      <c r="C9" t="s">
        <v>21</v>
      </c>
      <c r="D9" t="s">
        <v>22</v>
      </c>
    </row>
    <row r="10" spans="1:4">
      <c r="A10" s="1" t="s">
        <v>16</v>
      </c>
      <c r="B10" s="2" t="s">
        <v>5</v>
      </c>
      <c r="C10" s="2" t="s">
        <v>23</v>
      </c>
      <c r="D10" s="2" t="s">
        <v>24</v>
      </c>
    </row>
    <row r="11" spans="1:4">
      <c r="A11" t="s">
        <v>16</v>
      </c>
      <c r="B11" t="s">
        <v>5</v>
      </c>
      <c r="C11" t="s">
        <v>25</v>
      </c>
      <c r="D11" t="s">
        <v>26</v>
      </c>
    </row>
    <row r="12" spans="1:4">
      <c r="A12" t="s">
        <v>27</v>
      </c>
      <c r="B12" t="s">
        <v>5</v>
      </c>
      <c r="C12" t="s">
        <v>28</v>
      </c>
      <c r="D12" t="s">
        <v>29</v>
      </c>
    </row>
    <row r="13" spans="1:4">
      <c r="A13" t="s">
        <v>27</v>
      </c>
      <c r="B13" t="s">
        <v>5</v>
      </c>
      <c r="C13" t="s">
        <v>30</v>
      </c>
      <c r="D13" t="s">
        <v>31</v>
      </c>
    </row>
    <row r="14" spans="1:4" s="6" customFormat="1">
      <c r="A14" s="11" t="s">
        <v>27</v>
      </c>
      <c r="B14" s="12" t="s">
        <v>5</v>
      </c>
      <c r="C14" s="12" t="s">
        <v>32</v>
      </c>
      <c r="D14" s="12" t="s">
        <v>33</v>
      </c>
    </row>
    <row r="15" spans="1:4" s="6" customFormat="1">
      <c r="A15" s="6" t="s">
        <v>27</v>
      </c>
      <c r="B15" s="6" t="s">
        <v>5</v>
      </c>
      <c r="C15" s="6" t="s">
        <v>34</v>
      </c>
      <c r="D15" s="6" t="s">
        <v>35</v>
      </c>
    </row>
    <row r="16" spans="1:4">
      <c r="A16" s="1" t="s">
        <v>27</v>
      </c>
      <c r="B16" s="2" t="s">
        <v>5</v>
      </c>
      <c r="C16" s="2" t="s">
        <v>36</v>
      </c>
      <c r="D16" s="2" t="s">
        <v>37</v>
      </c>
    </row>
    <row r="17" spans="1:4">
      <c r="A17" t="s">
        <v>4</v>
      </c>
      <c r="B17" t="s">
        <v>38</v>
      </c>
      <c r="C17" t="s">
        <v>39</v>
      </c>
      <c r="D17" t="s">
        <v>40</v>
      </c>
    </row>
    <row r="18" spans="1:4">
      <c r="A18" t="s">
        <v>4</v>
      </c>
      <c r="B18" t="s">
        <v>38</v>
      </c>
      <c r="C18" t="s">
        <v>41</v>
      </c>
      <c r="D18">
        <v>4</v>
      </c>
    </row>
    <row r="19" spans="1:4">
      <c r="A19" s="1" t="s">
        <v>4</v>
      </c>
      <c r="B19" s="2" t="s">
        <v>38</v>
      </c>
      <c r="C19" s="2" t="s">
        <v>42</v>
      </c>
      <c r="D19" s="2">
        <v>34</v>
      </c>
    </row>
    <row r="20" spans="1:4">
      <c r="A20" t="s">
        <v>4</v>
      </c>
      <c r="B20" t="s">
        <v>38</v>
      </c>
      <c r="C20" t="s">
        <v>43</v>
      </c>
      <c r="D20" t="s">
        <v>44</v>
      </c>
    </row>
    <row r="21" spans="1:4">
      <c r="A21" s="6" t="s">
        <v>4</v>
      </c>
      <c r="B21" s="6" t="s">
        <v>38</v>
      </c>
      <c r="C21" s="6" t="s">
        <v>45</v>
      </c>
      <c r="D21" s="6">
        <v>9429939</v>
      </c>
    </row>
    <row r="22" spans="1:4">
      <c r="A22" s="1" t="s">
        <v>4</v>
      </c>
      <c r="B22" s="2" t="s">
        <v>38</v>
      </c>
      <c r="C22" s="2" t="s">
        <v>46</v>
      </c>
      <c r="D22" s="2" t="s">
        <v>47</v>
      </c>
    </row>
    <row r="23" spans="1:4">
      <c r="A23" t="s">
        <v>16</v>
      </c>
      <c r="B23" t="s">
        <v>38</v>
      </c>
      <c r="C23" t="s">
        <v>48</v>
      </c>
      <c r="D23" t="s">
        <v>49</v>
      </c>
    </row>
    <row r="24" spans="1:4" s="6" customFormat="1" ht="16.5" customHeight="1">
      <c r="A24" s="11" t="s">
        <v>16</v>
      </c>
      <c r="B24" s="12" t="s">
        <v>38</v>
      </c>
      <c r="C24" s="12" t="s">
        <v>50</v>
      </c>
      <c r="D24" s="12" t="s">
        <v>51</v>
      </c>
    </row>
    <row r="25" spans="1:4">
      <c r="A25" s="1" t="s">
        <v>16</v>
      </c>
      <c r="B25" s="2" t="s">
        <v>38</v>
      </c>
      <c r="C25" s="2" t="s">
        <v>52</v>
      </c>
      <c r="D25" s="2">
        <v>3</v>
      </c>
    </row>
    <row r="26" spans="1:4" s="6" customFormat="1">
      <c r="A26" s="6" t="s">
        <v>16</v>
      </c>
      <c r="B26" s="6" t="s">
        <v>38</v>
      </c>
      <c r="C26" s="6" t="s">
        <v>53</v>
      </c>
      <c r="D26" s="6" t="s">
        <v>54</v>
      </c>
    </row>
    <row r="27" spans="1:4">
      <c r="A27" t="s">
        <v>16</v>
      </c>
      <c r="B27" t="s">
        <v>38</v>
      </c>
      <c r="C27" t="s">
        <v>55</v>
      </c>
      <c r="D27" t="s">
        <v>56</v>
      </c>
    </row>
    <row r="28" spans="1:4">
      <c r="A28" t="s">
        <v>16</v>
      </c>
      <c r="B28" t="s">
        <v>38</v>
      </c>
      <c r="C28" t="s">
        <v>57</v>
      </c>
      <c r="D28" t="s">
        <v>58</v>
      </c>
    </row>
    <row r="29" spans="1:4">
      <c r="A29" t="s">
        <v>16</v>
      </c>
      <c r="B29" t="s">
        <v>38</v>
      </c>
      <c r="C29" t="s">
        <v>59</v>
      </c>
      <c r="D29" t="s">
        <v>60</v>
      </c>
    </row>
    <row r="30" spans="1:4">
      <c r="A30" s="1" t="s">
        <v>27</v>
      </c>
      <c r="B30" s="2" t="s">
        <v>38</v>
      </c>
      <c r="C30" s="2" t="s">
        <v>61</v>
      </c>
      <c r="D30" s="2" t="s">
        <v>62</v>
      </c>
    </row>
    <row r="31" spans="1:4">
      <c r="A31" t="s">
        <v>27</v>
      </c>
      <c r="B31" t="s">
        <v>38</v>
      </c>
      <c r="C31" t="s">
        <v>63</v>
      </c>
      <c r="D31" t="s">
        <v>64</v>
      </c>
    </row>
    <row r="32" spans="1:4" s="6" customFormat="1">
      <c r="A32" t="s">
        <v>27</v>
      </c>
      <c r="B32" t="s">
        <v>38</v>
      </c>
      <c r="C32" t="s">
        <v>65</v>
      </c>
      <c r="D32">
        <v>1164</v>
      </c>
    </row>
    <row r="33" spans="1:4">
      <c r="A33" s="1" t="s">
        <v>27</v>
      </c>
      <c r="B33" s="2" t="s">
        <v>38</v>
      </c>
      <c r="C33" s="2" t="s">
        <v>66</v>
      </c>
      <c r="D33" s="2">
        <v>63</v>
      </c>
    </row>
    <row r="34" spans="1:4">
      <c r="A34" t="s">
        <v>27</v>
      </c>
      <c r="B34" t="s">
        <v>38</v>
      </c>
      <c r="C34" t="s">
        <v>67</v>
      </c>
      <c r="D34">
        <v>177</v>
      </c>
    </row>
    <row r="35" spans="1:4">
      <c r="A35" t="s">
        <v>27</v>
      </c>
      <c r="B35" t="s">
        <v>38</v>
      </c>
      <c r="C35" t="s">
        <v>68</v>
      </c>
      <c r="D35" t="s">
        <v>64</v>
      </c>
    </row>
    <row r="36" spans="1:4" s="6" customFormat="1">
      <c r="A36" s="6" t="s">
        <v>4</v>
      </c>
      <c r="B36" s="6" t="s">
        <v>69</v>
      </c>
      <c r="C36" s="6" t="s">
        <v>70</v>
      </c>
      <c r="D36" s="6" t="s">
        <v>71</v>
      </c>
    </row>
    <row r="37" spans="1:4">
      <c r="A37" s="1" t="s">
        <v>4</v>
      </c>
      <c r="B37" s="2" t="s">
        <v>69</v>
      </c>
      <c r="C37" s="2" t="s">
        <v>72</v>
      </c>
      <c r="D37" s="2" t="s">
        <v>73</v>
      </c>
    </row>
    <row r="38" spans="1:4">
      <c r="A38" t="s">
        <v>16</v>
      </c>
      <c r="B38" t="s">
        <v>69</v>
      </c>
      <c r="C38" t="s">
        <v>74</v>
      </c>
      <c r="D38" t="s">
        <v>75</v>
      </c>
    </row>
    <row r="39" spans="1:4">
      <c r="A39" t="s">
        <v>16</v>
      </c>
      <c r="B39" t="s">
        <v>69</v>
      </c>
      <c r="C39" t="s">
        <v>76</v>
      </c>
      <c r="D39">
        <v>2</v>
      </c>
    </row>
    <row r="40" spans="1:4" s="6" customFormat="1">
      <c r="A40" s="11" t="s">
        <v>27</v>
      </c>
      <c r="B40" s="12" t="s">
        <v>69</v>
      </c>
      <c r="C40" s="12" t="s">
        <v>77</v>
      </c>
      <c r="D40" s="12">
        <v>3</v>
      </c>
    </row>
    <row r="41" spans="1:4">
      <c r="A41" s="1" t="s">
        <v>27</v>
      </c>
      <c r="B41" s="2" t="s">
        <v>69</v>
      </c>
      <c r="C41" s="2" t="s">
        <v>78</v>
      </c>
      <c r="D41" s="2" t="s">
        <v>79</v>
      </c>
    </row>
    <row r="42" spans="1:4" ht="15" customHeight="1">
      <c r="A42" t="s">
        <v>4</v>
      </c>
      <c r="B42" t="s">
        <v>80</v>
      </c>
      <c r="C42" t="s">
        <v>81</v>
      </c>
      <c r="D42" t="s">
        <v>82</v>
      </c>
    </row>
    <row r="43" spans="1:4" s="6" customFormat="1">
      <c r="A43" s="11" t="s">
        <v>4</v>
      </c>
      <c r="B43" s="12" t="s">
        <v>80</v>
      </c>
      <c r="C43" s="12" t="s">
        <v>83</v>
      </c>
      <c r="D43" s="12" t="s">
        <v>84</v>
      </c>
    </row>
    <row r="44" spans="1:4" s="6" customFormat="1">
      <c r="A44" s="6" t="s">
        <v>4</v>
      </c>
      <c r="B44" s="6" t="s">
        <v>80</v>
      </c>
      <c r="C44" s="6" t="s">
        <v>85</v>
      </c>
      <c r="D44" s="6" t="s">
        <v>86</v>
      </c>
    </row>
    <row r="45" spans="1:4">
      <c r="A45" s="1" t="s">
        <v>4</v>
      </c>
      <c r="B45" s="2" t="s">
        <v>80</v>
      </c>
      <c r="C45" s="2" t="s">
        <v>87</v>
      </c>
      <c r="D45" s="2" t="s">
        <v>88</v>
      </c>
    </row>
    <row r="46" spans="1:4" s="6" customFormat="1">
      <c r="A46" s="11" t="s">
        <v>16</v>
      </c>
      <c r="B46" s="12" t="s">
        <v>80</v>
      </c>
      <c r="C46" s="12" t="s">
        <v>89</v>
      </c>
      <c r="D46" s="12" t="s">
        <v>90</v>
      </c>
    </row>
    <row r="47" spans="1:4">
      <c r="A47" s="1" t="s">
        <v>16</v>
      </c>
      <c r="B47" s="2" t="s">
        <v>80</v>
      </c>
      <c r="C47" s="2" t="s">
        <v>91</v>
      </c>
      <c r="D47" s="2">
        <v>2</v>
      </c>
    </row>
    <row r="48" spans="1:4" s="6" customFormat="1">
      <c r="A48" s="11" t="s">
        <v>16</v>
      </c>
      <c r="B48" s="12" t="s">
        <v>80</v>
      </c>
      <c r="C48" s="12" t="s">
        <v>92</v>
      </c>
      <c r="D48" s="12">
        <v>1871</v>
      </c>
    </row>
    <row r="49" spans="1:4">
      <c r="A49" s="6" t="s">
        <v>27</v>
      </c>
      <c r="B49" s="6" t="s">
        <v>80</v>
      </c>
      <c r="C49" s="6" t="s">
        <v>93</v>
      </c>
      <c r="D49" s="6" t="s">
        <v>94</v>
      </c>
    </row>
    <row r="50" spans="1:4" s="6" customFormat="1">
      <c r="A50" s="6" t="s">
        <v>27</v>
      </c>
      <c r="B50" s="6" t="s">
        <v>80</v>
      </c>
      <c r="C50" s="6" t="s">
        <v>95</v>
      </c>
      <c r="D50" s="6" t="s">
        <v>96</v>
      </c>
    </row>
    <row r="51" spans="1:4">
      <c r="A51" s="1" t="s">
        <v>27</v>
      </c>
      <c r="B51" s="2" t="s">
        <v>80</v>
      </c>
      <c r="C51" s="2" t="s">
        <v>97</v>
      </c>
      <c r="D51" s="2" t="s">
        <v>98</v>
      </c>
    </row>
    <row r="52" spans="1:4">
      <c r="A52" t="s">
        <v>4</v>
      </c>
      <c r="B52" t="s">
        <v>99</v>
      </c>
      <c r="C52" t="s">
        <v>100</v>
      </c>
      <c r="D52" s="18">
        <v>38465</v>
      </c>
    </row>
    <row r="53" spans="1:4" s="6" customFormat="1">
      <c r="A53" s="11" t="s">
        <v>16</v>
      </c>
      <c r="B53" s="12" t="s">
        <v>99</v>
      </c>
      <c r="C53" s="12" t="s">
        <v>101</v>
      </c>
      <c r="D53" s="12" t="s">
        <v>102</v>
      </c>
    </row>
    <row r="54" spans="1:4">
      <c r="A54" t="s">
        <v>27</v>
      </c>
      <c r="B54" t="s">
        <v>99</v>
      </c>
      <c r="C54" t="s">
        <v>103</v>
      </c>
      <c r="D54" t="s">
        <v>104</v>
      </c>
    </row>
    <row r="55" spans="1:4">
      <c r="A55" s="1" t="s">
        <v>4</v>
      </c>
      <c r="B55" s="2" t="s">
        <v>105</v>
      </c>
      <c r="C55" s="2" t="s">
        <v>106</v>
      </c>
      <c r="D55" s="2" t="s">
        <v>107</v>
      </c>
    </row>
    <row r="56" spans="1:4">
      <c r="A56" s="1" t="s">
        <v>4</v>
      </c>
      <c r="B56" s="2" t="s">
        <v>105</v>
      </c>
      <c r="C56" s="2" t="s">
        <v>108</v>
      </c>
      <c r="D56" s="2">
        <v>842</v>
      </c>
    </row>
    <row r="57" spans="1:4">
      <c r="A57" s="1" t="s">
        <v>4</v>
      </c>
      <c r="B57" s="2" t="s">
        <v>109</v>
      </c>
      <c r="C57" s="2" t="s">
        <v>110</v>
      </c>
      <c r="D57" s="2" t="s">
        <v>111</v>
      </c>
    </row>
    <row r="58" spans="1:4">
      <c r="A58" s="1" t="s">
        <v>4</v>
      </c>
      <c r="B58" s="2" t="s">
        <v>109</v>
      </c>
      <c r="C58" s="2" t="s">
        <v>112</v>
      </c>
      <c r="D58" s="2" t="s">
        <v>113</v>
      </c>
    </row>
    <row r="59" spans="1:4">
      <c r="A59" s="1" t="s">
        <v>4</v>
      </c>
      <c r="B59" s="2" t="s">
        <v>109</v>
      </c>
      <c r="C59" s="2" t="s">
        <v>114</v>
      </c>
      <c r="D59" s="2" t="s">
        <v>115</v>
      </c>
    </row>
    <row r="60" spans="1:4">
      <c r="A60" s="1" t="s">
        <v>4</v>
      </c>
      <c r="B60" s="2" t="s">
        <v>109</v>
      </c>
      <c r="C60" s="2" t="s">
        <v>116</v>
      </c>
      <c r="D60" s="2" t="s">
        <v>117</v>
      </c>
    </row>
    <row r="61" spans="1:4">
      <c r="A61" t="s">
        <v>4</v>
      </c>
      <c r="B61" t="s">
        <v>109</v>
      </c>
      <c r="C61" t="s">
        <v>118</v>
      </c>
      <c r="D61" t="s">
        <v>119</v>
      </c>
    </row>
    <row r="62" spans="1:4" s="6" customFormat="1">
      <c r="A62" s="1" t="s">
        <v>4</v>
      </c>
      <c r="B62" s="2" t="s">
        <v>109</v>
      </c>
      <c r="C62" s="2" t="s">
        <v>120</v>
      </c>
      <c r="D62" s="2" t="s">
        <v>121</v>
      </c>
    </row>
    <row r="63" spans="1:4">
      <c r="A63" t="s">
        <v>4</v>
      </c>
      <c r="B63" t="s">
        <v>109</v>
      </c>
      <c r="C63" t="s">
        <v>122</v>
      </c>
      <c r="D63" t="s">
        <v>123</v>
      </c>
    </row>
    <row r="64" spans="1:4" s="6" customFormat="1">
      <c r="A64" s="11" t="s">
        <v>4</v>
      </c>
      <c r="B64" s="12" t="s">
        <v>124</v>
      </c>
      <c r="C64" s="12" t="s">
        <v>125</v>
      </c>
      <c r="D64" s="12" t="s">
        <v>126</v>
      </c>
    </row>
    <row r="65" spans="1:4">
      <c r="A65" s="1" t="s">
        <v>4</v>
      </c>
      <c r="B65" s="2" t="s">
        <v>109</v>
      </c>
      <c r="C65" s="2" t="s">
        <v>127</v>
      </c>
      <c r="D65" s="2" t="s">
        <v>128</v>
      </c>
    </row>
    <row r="66" spans="1:4">
      <c r="A66" s="1" t="s">
        <v>4</v>
      </c>
      <c r="B66" s="2" t="s">
        <v>109</v>
      </c>
      <c r="C66" s="9" t="s">
        <v>129</v>
      </c>
      <c r="D66" s="9" t="s">
        <v>130</v>
      </c>
    </row>
    <row r="67" spans="1:4">
      <c r="A67" s="1" t="s">
        <v>4</v>
      </c>
      <c r="B67" s="2" t="s">
        <v>109</v>
      </c>
      <c r="C67" s="9" t="s">
        <v>131</v>
      </c>
      <c r="D67" s="17" t="s">
        <v>132</v>
      </c>
    </row>
    <row r="68" spans="1:4">
      <c r="A68" s="3" t="s">
        <v>4</v>
      </c>
      <c r="B68" t="s">
        <v>105</v>
      </c>
      <c r="C68" t="s">
        <v>133</v>
      </c>
      <c r="D68" t="s">
        <v>134</v>
      </c>
    </row>
    <row r="69" spans="1:4">
      <c r="A69" s="3" t="s">
        <v>4</v>
      </c>
      <c r="B69" t="s">
        <v>109</v>
      </c>
      <c r="C69" t="s">
        <v>135</v>
      </c>
      <c r="D69" t="s">
        <v>136</v>
      </c>
    </row>
    <row r="70" spans="1:4" s="6" customFormat="1">
      <c r="A70" s="3" t="s">
        <v>16</v>
      </c>
      <c r="B70" t="s">
        <v>109</v>
      </c>
      <c r="C70" s="7" t="s">
        <v>137</v>
      </c>
      <c r="D70">
        <v>0</v>
      </c>
    </row>
    <row r="71" spans="1:4">
      <c r="A71" s="3" t="s">
        <v>16</v>
      </c>
      <c r="B71" t="s">
        <v>109</v>
      </c>
      <c r="C71" t="s">
        <v>138</v>
      </c>
      <c r="D71" t="s">
        <v>139</v>
      </c>
    </row>
    <row r="72" spans="1:4">
      <c r="A72" t="s">
        <v>16</v>
      </c>
      <c r="B72" t="s">
        <v>109</v>
      </c>
      <c r="C72" t="s">
        <v>140</v>
      </c>
      <c r="D72" t="s">
        <v>141</v>
      </c>
    </row>
    <row r="73" spans="1:4">
      <c r="A73" t="s">
        <v>16</v>
      </c>
      <c r="B73" t="s">
        <v>109</v>
      </c>
      <c r="C73" t="s">
        <v>142</v>
      </c>
      <c r="D73" t="s">
        <v>143</v>
      </c>
    </row>
    <row r="74" spans="1:4">
      <c r="A74" t="s">
        <v>16</v>
      </c>
      <c r="B74" t="s">
        <v>109</v>
      </c>
      <c r="C74" t="s">
        <v>144</v>
      </c>
      <c r="D74" t="s">
        <v>145</v>
      </c>
    </row>
    <row r="75" spans="1:4">
      <c r="A75" t="s">
        <v>16</v>
      </c>
      <c r="B75" t="s">
        <v>109</v>
      </c>
      <c r="C75" t="s">
        <v>146</v>
      </c>
      <c r="D75" t="s">
        <v>147</v>
      </c>
    </row>
    <row r="76" spans="1:4">
      <c r="A76" t="s">
        <v>16</v>
      </c>
      <c r="B76" t="s">
        <v>109</v>
      </c>
      <c r="C76" t="s">
        <v>148</v>
      </c>
      <c r="D76">
        <v>6</v>
      </c>
    </row>
    <row r="77" spans="1:4" s="6" customFormat="1">
      <c r="A77" t="s">
        <v>16</v>
      </c>
      <c r="B77" t="s">
        <v>109</v>
      </c>
      <c r="C77" t="s">
        <v>149</v>
      </c>
      <c r="D77" t="s">
        <v>150</v>
      </c>
    </row>
    <row r="78" spans="1:4">
      <c r="A78" s="3" t="s">
        <v>16</v>
      </c>
      <c r="B78" t="s">
        <v>109</v>
      </c>
      <c r="C78" t="s">
        <v>151</v>
      </c>
      <c r="D78" t="s">
        <v>152</v>
      </c>
    </row>
    <row r="79" spans="1:4" s="6" customFormat="1">
      <c r="A79" s="6" t="s">
        <v>16</v>
      </c>
      <c r="B79" s="6" t="s">
        <v>109</v>
      </c>
      <c r="C79" s="6" t="s">
        <v>153</v>
      </c>
      <c r="D79" s="6" t="s">
        <v>154</v>
      </c>
    </row>
    <row r="80" spans="1:4">
      <c r="A80" t="s">
        <v>16</v>
      </c>
      <c r="B80" t="s">
        <v>109</v>
      </c>
      <c r="C80" t="s">
        <v>155</v>
      </c>
      <c r="D80" t="s">
        <v>156</v>
      </c>
    </row>
    <row r="81" spans="1:4">
      <c r="A81" t="s">
        <v>16</v>
      </c>
      <c r="B81" t="s">
        <v>109</v>
      </c>
      <c r="C81" t="s">
        <v>157</v>
      </c>
      <c r="D81" t="s">
        <v>158</v>
      </c>
    </row>
    <row r="82" spans="1:4">
      <c r="A82" s="3" t="s">
        <v>16</v>
      </c>
      <c r="B82" t="s">
        <v>109</v>
      </c>
      <c r="C82" t="s">
        <v>159</v>
      </c>
      <c r="D82">
        <v>2017</v>
      </c>
    </row>
    <row r="83" spans="1:4" s="6" customFormat="1">
      <c r="A83" t="s">
        <v>16</v>
      </c>
      <c r="B83" t="s">
        <v>109</v>
      </c>
      <c r="C83" t="s">
        <v>160</v>
      </c>
      <c r="D83" t="s">
        <v>161</v>
      </c>
    </row>
    <row r="84" spans="1:4">
      <c r="A84" t="s">
        <v>16</v>
      </c>
      <c r="B84" s="2" t="s">
        <v>109</v>
      </c>
      <c r="C84" t="s">
        <v>162</v>
      </c>
      <c r="D84" t="s">
        <v>163</v>
      </c>
    </row>
    <row r="85" spans="1:4">
      <c r="A85" t="s">
        <v>27</v>
      </c>
      <c r="B85" s="2" t="s">
        <v>105</v>
      </c>
      <c r="C85" t="s">
        <v>164</v>
      </c>
      <c r="D85">
        <v>2013</v>
      </c>
    </row>
    <row r="86" spans="1:4">
      <c r="A86" s="3" t="s">
        <v>27</v>
      </c>
      <c r="B86" t="s">
        <v>105</v>
      </c>
      <c r="C86" t="s">
        <v>165</v>
      </c>
      <c r="D86" t="s">
        <v>166</v>
      </c>
    </row>
    <row r="87" spans="1:4" s="6" customFormat="1">
      <c r="A87" s="1" t="s">
        <v>27</v>
      </c>
      <c r="B87" t="s">
        <v>105</v>
      </c>
      <c r="C87" t="s">
        <v>167</v>
      </c>
      <c r="D87">
        <v>170</v>
      </c>
    </row>
    <row r="88" spans="1:4" s="6" customFormat="1">
      <c r="A88" t="s">
        <v>27</v>
      </c>
      <c r="B88" t="s">
        <v>105</v>
      </c>
      <c r="C88" t="s">
        <v>168</v>
      </c>
      <c r="D88" t="s">
        <v>169</v>
      </c>
    </row>
    <row r="89" spans="1:4">
      <c r="A89" s="3" t="s">
        <v>27</v>
      </c>
      <c r="B89" t="s">
        <v>109</v>
      </c>
      <c r="C89" t="s">
        <v>170</v>
      </c>
      <c r="D89" t="s">
        <v>171</v>
      </c>
    </row>
    <row r="90" spans="1:4">
      <c r="A90" s="3" t="s">
        <v>27</v>
      </c>
      <c r="B90" t="s">
        <v>109</v>
      </c>
      <c r="C90" t="s">
        <v>172</v>
      </c>
      <c r="D90" t="s">
        <v>173</v>
      </c>
    </row>
    <row r="91" spans="1:4">
      <c r="A91" s="3" t="s">
        <v>27</v>
      </c>
      <c r="B91" t="s">
        <v>109</v>
      </c>
      <c r="C91" t="s">
        <v>174</v>
      </c>
      <c r="D91" s="18">
        <v>40571</v>
      </c>
    </row>
    <row r="92" spans="1:4">
      <c r="A92" s="3" t="s">
        <v>27</v>
      </c>
      <c r="B92" t="s">
        <v>109</v>
      </c>
      <c r="C92" t="s">
        <v>175</v>
      </c>
      <c r="D92">
        <v>16</v>
      </c>
    </row>
    <row r="93" spans="1:4">
      <c r="A93" s="3" t="s">
        <v>27</v>
      </c>
      <c r="B93" t="s">
        <v>109</v>
      </c>
      <c r="C93" t="s">
        <v>176</v>
      </c>
      <c r="D93">
        <v>11</v>
      </c>
    </row>
    <row r="94" spans="1:4">
      <c r="A94" s="3" t="s">
        <v>27</v>
      </c>
      <c r="B94" t="s">
        <v>109</v>
      </c>
      <c r="C94" t="s">
        <v>177</v>
      </c>
      <c r="D94">
        <v>9</v>
      </c>
    </row>
    <row r="95" spans="1:4">
      <c r="A95" s="3" t="s">
        <v>27</v>
      </c>
      <c r="B95" t="s">
        <v>109</v>
      </c>
      <c r="C95" t="s">
        <v>178</v>
      </c>
      <c r="D95" t="s">
        <v>179</v>
      </c>
    </row>
    <row r="96" spans="1:4">
      <c r="A96" s="3" t="s">
        <v>27</v>
      </c>
      <c r="B96" t="s">
        <v>109</v>
      </c>
      <c r="C96" t="s">
        <v>180</v>
      </c>
      <c r="D96">
        <v>120</v>
      </c>
    </row>
    <row r="97" spans="1:4">
      <c r="A97" s="6" t="s">
        <v>27</v>
      </c>
      <c r="B97" s="6" t="s">
        <v>109</v>
      </c>
      <c r="C97" s="6" t="s">
        <v>181</v>
      </c>
      <c r="D97" s="6">
        <v>87</v>
      </c>
    </row>
    <row r="98" spans="1:4">
      <c r="A98" s="3" t="s">
        <v>27</v>
      </c>
      <c r="B98" t="s">
        <v>109</v>
      </c>
      <c r="C98" s="16" t="s">
        <v>182</v>
      </c>
      <c r="D98" s="16">
        <v>5</v>
      </c>
    </row>
    <row r="99" spans="1:4">
      <c r="A99" t="s">
        <v>27</v>
      </c>
      <c r="B99" t="s">
        <v>109</v>
      </c>
      <c r="C99" t="s">
        <v>183</v>
      </c>
      <c r="D99">
        <v>2008</v>
      </c>
    </row>
    <row r="100" spans="1:4">
      <c r="A100" t="s">
        <v>4</v>
      </c>
      <c r="B100" t="s">
        <v>184</v>
      </c>
      <c r="C100" t="s">
        <v>185</v>
      </c>
      <c r="D100" t="s">
        <v>186</v>
      </c>
    </row>
    <row r="101" spans="1:4" s="6" customFormat="1">
      <c r="A101" s="10" t="s">
        <v>4</v>
      </c>
      <c r="B101" s="6" t="s">
        <v>184</v>
      </c>
      <c r="C101" s="6" t="s">
        <v>187</v>
      </c>
      <c r="D101" s="6" t="s">
        <v>188</v>
      </c>
    </row>
    <row r="102" spans="1:4">
      <c r="A102" t="s">
        <v>4</v>
      </c>
      <c r="B102" t="s">
        <v>184</v>
      </c>
      <c r="C102" t="s">
        <v>189</v>
      </c>
      <c r="D102" t="s">
        <v>190</v>
      </c>
    </row>
    <row r="103" spans="1:4">
      <c r="A103" t="s">
        <v>16</v>
      </c>
      <c r="B103" t="s">
        <v>184</v>
      </c>
      <c r="C103" t="s">
        <v>191</v>
      </c>
      <c r="D103" t="s">
        <v>192</v>
      </c>
    </row>
    <row r="104" spans="1:4" s="6" customFormat="1">
      <c r="A104" s="10" t="s">
        <v>16</v>
      </c>
      <c r="B104" s="6" t="s">
        <v>184</v>
      </c>
      <c r="C104" s="6" t="s">
        <v>193</v>
      </c>
      <c r="D104" s="6" t="s">
        <v>194</v>
      </c>
    </row>
    <row r="105" spans="1:4" s="6" customFormat="1">
      <c r="A105" s="10" t="s">
        <v>16</v>
      </c>
      <c r="B105" s="6" t="s">
        <v>184</v>
      </c>
      <c r="C105" s="6" t="s">
        <v>195</v>
      </c>
      <c r="D105" s="6" t="s">
        <v>196</v>
      </c>
    </row>
    <row r="106" spans="1:4">
      <c r="A106" s="10" t="s">
        <v>27</v>
      </c>
      <c r="B106" s="6" t="s">
        <v>184</v>
      </c>
      <c r="C106" s="6" t="s">
        <v>197</v>
      </c>
      <c r="D106" s="6" t="s">
        <v>198</v>
      </c>
    </row>
    <row r="107" spans="1:4">
      <c r="A107" s="3" t="s">
        <v>27</v>
      </c>
      <c r="B107" t="s">
        <v>184</v>
      </c>
      <c r="C107" t="s">
        <v>199</v>
      </c>
      <c r="D107" t="s">
        <v>200</v>
      </c>
    </row>
    <row r="108" spans="1:4">
      <c r="A108" s="3" t="s">
        <v>27</v>
      </c>
      <c r="B108" t="s">
        <v>184</v>
      </c>
      <c r="C108" t="s">
        <v>201</v>
      </c>
      <c r="D108">
        <v>2009</v>
      </c>
    </row>
    <row r="109" spans="1:4">
      <c r="A109" s="3" t="s">
        <v>4</v>
      </c>
      <c r="B109" t="s">
        <v>124</v>
      </c>
      <c r="C109" t="s">
        <v>202</v>
      </c>
      <c r="D109">
        <v>20</v>
      </c>
    </row>
    <row r="110" spans="1:4" s="6" customFormat="1">
      <c r="A110" s="6" t="s">
        <v>4</v>
      </c>
      <c r="B110" s="6" t="s">
        <v>124</v>
      </c>
      <c r="C110" s="6" t="s">
        <v>203</v>
      </c>
      <c r="D110" s="6" t="s">
        <v>204</v>
      </c>
    </row>
    <row r="111" spans="1:4">
      <c r="A111" s="3" t="s">
        <v>16</v>
      </c>
      <c r="B111" t="s">
        <v>124</v>
      </c>
      <c r="C111" t="s">
        <v>205</v>
      </c>
      <c r="D111" t="s">
        <v>206</v>
      </c>
    </row>
    <row r="112" spans="1:4">
      <c r="A112" s="6" t="s">
        <v>16</v>
      </c>
      <c r="B112" s="6" t="s">
        <v>124</v>
      </c>
      <c r="C112" s="6" t="s">
        <v>207</v>
      </c>
      <c r="D112" s="6" t="s">
        <v>208</v>
      </c>
    </row>
    <row r="113" spans="1:4">
      <c r="A113" s="3" t="s">
        <v>27</v>
      </c>
      <c r="B113" t="s">
        <v>124</v>
      </c>
      <c r="C113" t="s">
        <v>209</v>
      </c>
      <c r="D113" t="s">
        <v>210</v>
      </c>
    </row>
    <row r="114" spans="1:4" s="6" customFormat="1">
      <c r="A114" s="10" t="s">
        <v>27</v>
      </c>
      <c r="B114" s="6" t="s">
        <v>124</v>
      </c>
      <c r="C114" s="6" t="s">
        <v>211</v>
      </c>
      <c r="D114" s="6" t="s">
        <v>212</v>
      </c>
    </row>
    <row r="115" spans="1:4">
      <c r="A115" s="3" t="s">
        <v>27</v>
      </c>
      <c r="B115" t="s">
        <v>124</v>
      </c>
      <c r="C115" t="s">
        <v>213</v>
      </c>
      <c r="D115" t="s">
        <v>214</v>
      </c>
    </row>
    <row r="116" spans="1:4" s="6" customFormat="1">
      <c r="A116" s="10" t="s">
        <v>4</v>
      </c>
      <c r="B116" s="6" t="s">
        <v>215</v>
      </c>
      <c r="C116" s="6" t="s">
        <v>216</v>
      </c>
      <c r="D116" s="6">
        <v>9</v>
      </c>
    </row>
    <row r="117" spans="1:4" s="6" customFormat="1">
      <c r="A117" s="10" t="s">
        <v>4</v>
      </c>
      <c r="B117" s="6" t="s">
        <v>215</v>
      </c>
      <c r="C117" s="6" t="s">
        <v>217</v>
      </c>
      <c r="D117" s="6">
        <v>10</v>
      </c>
    </row>
    <row r="118" spans="1:4" s="6" customFormat="1">
      <c r="A118" s="10" t="s">
        <v>4</v>
      </c>
      <c r="B118" s="6" t="s">
        <v>215</v>
      </c>
      <c r="C118" s="6" t="s">
        <v>218</v>
      </c>
      <c r="D118" s="6">
        <v>12</v>
      </c>
    </row>
    <row r="119" spans="1:4" s="6" customFormat="1">
      <c r="A119" s="10" t="s">
        <v>16</v>
      </c>
      <c r="B119" s="6" t="s">
        <v>219</v>
      </c>
      <c r="C119" s="6" t="s">
        <v>220</v>
      </c>
      <c r="D119" s="6" t="s">
        <v>221</v>
      </c>
    </row>
    <row r="120" spans="1:4" s="24" customFormat="1">
      <c r="A120" s="23" t="s">
        <v>16</v>
      </c>
      <c r="B120" s="24" t="s">
        <v>219</v>
      </c>
      <c r="C120" s="24" t="s">
        <v>222</v>
      </c>
      <c r="D120" s="24" t="s">
        <v>223</v>
      </c>
    </row>
    <row r="121" spans="1:4">
      <c r="A121" s="3" t="s">
        <v>16</v>
      </c>
      <c r="B121" t="s">
        <v>219</v>
      </c>
      <c r="C121" t="s">
        <v>224</v>
      </c>
      <c r="D121">
        <v>14</v>
      </c>
    </row>
    <row r="122" spans="1:4">
      <c r="A122" s="6" t="s">
        <v>27</v>
      </c>
      <c r="B122" s="6" t="s">
        <v>215</v>
      </c>
      <c r="C122" s="6" t="s">
        <v>225</v>
      </c>
      <c r="D122" s="6" t="s">
        <v>226</v>
      </c>
    </row>
    <row r="123" spans="1:4">
      <c r="A123" s="3" t="s">
        <v>27</v>
      </c>
      <c r="B123" t="s">
        <v>215</v>
      </c>
      <c r="C123" t="s">
        <v>227</v>
      </c>
      <c r="D123" t="s">
        <v>228</v>
      </c>
    </row>
    <row r="124" spans="1:4">
      <c r="A124" t="s">
        <v>27</v>
      </c>
      <c r="B124" t="s">
        <v>215</v>
      </c>
      <c r="C124" t="s">
        <v>229</v>
      </c>
      <c r="D124">
        <v>9</v>
      </c>
    </row>
    <row r="125" spans="1:4">
      <c r="A125" t="s">
        <v>4</v>
      </c>
      <c r="B125" t="s">
        <v>230</v>
      </c>
      <c r="C125" t="s">
        <v>231</v>
      </c>
      <c r="D125" t="s">
        <v>232</v>
      </c>
    </row>
    <row r="126" spans="1:4">
      <c r="A126" t="s">
        <v>4</v>
      </c>
      <c r="B126" t="s">
        <v>230</v>
      </c>
      <c r="C126" t="s">
        <v>233</v>
      </c>
      <c r="D126">
        <v>50</v>
      </c>
    </row>
    <row r="127" spans="1:4">
      <c r="A127" s="10" t="s">
        <v>4</v>
      </c>
      <c r="B127" s="6" t="s">
        <v>230</v>
      </c>
      <c r="C127" s="6" t="s">
        <v>234</v>
      </c>
      <c r="D127" s="6" t="s">
        <v>235</v>
      </c>
    </row>
    <row r="128" spans="1:4" s="6" customFormat="1">
      <c r="A128" s="6" t="s">
        <v>16</v>
      </c>
      <c r="B128" s="6" t="s">
        <v>230</v>
      </c>
      <c r="C128" s="22" t="s">
        <v>236</v>
      </c>
      <c r="D128" s="6" t="s">
        <v>237</v>
      </c>
    </row>
    <row r="129" spans="1:4">
      <c r="A129" s="3" t="s">
        <v>16</v>
      </c>
      <c r="B129" t="s">
        <v>230</v>
      </c>
      <c r="C129" t="s">
        <v>238</v>
      </c>
      <c r="D129">
        <v>15</v>
      </c>
    </row>
    <row r="130" spans="1:4">
      <c r="A130" s="3" t="s">
        <v>16</v>
      </c>
      <c r="B130" t="s">
        <v>230</v>
      </c>
      <c r="C130" t="s">
        <v>239</v>
      </c>
      <c r="D130" t="s">
        <v>240</v>
      </c>
    </row>
    <row r="131" spans="1:4">
      <c r="A131" s="3" t="s">
        <v>16</v>
      </c>
      <c r="B131" t="s">
        <v>230</v>
      </c>
      <c r="C131" t="s">
        <v>241</v>
      </c>
      <c r="D131" t="s">
        <v>242</v>
      </c>
    </row>
    <row r="132" spans="1:4">
      <c r="A132" t="s">
        <v>27</v>
      </c>
      <c r="B132" t="s">
        <v>230</v>
      </c>
      <c r="C132" t="s">
        <v>243</v>
      </c>
      <c r="D132" t="s">
        <v>244</v>
      </c>
    </row>
    <row r="133" spans="1:4" s="6" customFormat="1">
      <c r="A133" s="10" t="s">
        <v>27</v>
      </c>
      <c r="B133" s="6" t="s">
        <v>230</v>
      </c>
      <c r="C133" s="6" t="s">
        <v>245</v>
      </c>
      <c r="D133" s="6" t="s">
        <v>246</v>
      </c>
    </row>
    <row r="134" spans="1:4">
      <c r="A134" t="s">
        <v>27</v>
      </c>
      <c r="B134" t="s">
        <v>230</v>
      </c>
      <c r="C134" t="s">
        <v>247</v>
      </c>
      <c r="D134" t="s">
        <v>248</v>
      </c>
    </row>
    <row r="135" spans="1:4" s="6" customFormat="1">
      <c r="A135" s="3" t="s">
        <v>27</v>
      </c>
      <c r="B135" t="s">
        <v>230</v>
      </c>
      <c r="C135" t="s">
        <v>249</v>
      </c>
      <c r="D135" t="s">
        <v>250</v>
      </c>
    </row>
    <row r="136" spans="1:4">
      <c r="A136" t="s">
        <v>4</v>
      </c>
      <c r="B136" t="s">
        <v>251</v>
      </c>
      <c r="C136" s="8" t="s">
        <v>252</v>
      </c>
      <c r="D136" t="s">
        <v>253</v>
      </c>
    </row>
    <row r="137" spans="1:4" s="6" customFormat="1">
      <c r="A137" s="10" t="s">
        <v>4</v>
      </c>
      <c r="B137" s="6" t="s">
        <v>254</v>
      </c>
      <c r="C137" s="6" t="s">
        <v>255</v>
      </c>
      <c r="D137" s="6" t="s">
        <v>256</v>
      </c>
    </row>
    <row r="138" spans="1:4">
      <c r="A138" s="3" t="s">
        <v>4</v>
      </c>
      <c r="B138" t="s">
        <v>254</v>
      </c>
      <c r="C138" t="s">
        <v>257</v>
      </c>
      <c r="D138">
        <v>2</v>
      </c>
    </row>
    <row r="139" spans="1:4">
      <c r="A139" s="3" t="s">
        <v>4</v>
      </c>
      <c r="B139" t="s">
        <v>254</v>
      </c>
      <c r="C139" t="s">
        <v>258</v>
      </c>
      <c r="D139" t="s">
        <v>259</v>
      </c>
    </row>
    <row r="140" spans="1:4">
      <c r="A140" s="3" t="s">
        <v>4</v>
      </c>
      <c r="B140" t="s">
        <v>254</v>
      </c>
      <c r="C140" t="s">
        <v>260</v>
      </c>
      <c r="D140">
        <v>7</v>
      </c>
    </row>
    <row r="141" spans="1:4">
      <c r="A141" s="3" t="s">
        <v>4</v>
      </c>
      <c r="B141" t="s">
        <v>254</v>
      </c>
      <c r="C141" t="s">
        <v>261</v>
      </c>
      <c r="D141" t="s">
        <v>262</v>
      </c>
    </row>
    <row r="142" spans="1:4" s="6" customFormat="1">
      <c r="A142" s="10" t="s">
        <v>4</v>
      </c>
      <c r="B142" s="6" t="s">
        <v>254</v>
      </c>
      <c r="C142" s="6" t="s">
        <v>263</v>
      </c>
      <c r="D142" s="6" t="s">
        <v>264</v>
      </c>
    </row>
    <row r="143" spans="1:4" s="6" customFormat="1">
      <c r="A143" s="10" t="s">
        <v>16</v>
      </c>
      <c r="B143" s="6" t="s">
        <v>254</v>
      </c>
      <c r="C143" s="6" t="s">
        <v>265</v>
      </c>
      <c r="D143" s="6">
        <v>30</v>
      </c>
    </row>
    <row r="144" spans="1:4">
      <c r="A144" s="3" t="s">
        <v>16</v>
      </c>
      <c r="B144" t="s">
        <v>254</v>
      </c>
      <c r="C144" t="s">
        <v>266</v>
      </c>
      <c r="D144" t="s">
        <v>267</v>
      </c>
    </row>
    <row r="145" spans="1:4" s="6" customFormat="1">
      <c r="A145" s="10" t="s">
        <v>16</v>
      </c>
      <c r="B145" s="6" t="s">
        <v>254</v>
      </c>
      <c r="C145" s="6" t="s">
        <v>268</v>
      </c>
      <c r="D145" s="21">
        <v>0.78</v>
      </c>
    </row>
    <row r="146" spans="1:4">
      <c r="A146" s="3" t="s">
        <v>16</v>
      </c>
      <c r="B146" t="s">
        <v>254</v>
      </c>
      <c r="C146" t="s">
        <v>269</v>
      </c>
      <c r="D146" t="s">
        <v>270</v>
      </c>
    </row>
    <row r="147" spans="1:4">
      <c r="A147" s="3" t="s">
        <v>16</v>
      </c>
      <c r="B147" t="s">
        <v>254</v>
      </c>
      <c r="C147" t="s">
        <v>271</v>
      </c>
      <c r="D147" t="s">
        <v>272</v>
      </c>
    </row>
    <row r="148" spans="1:4">
      <c r="A148" s="3" t="s">
        <v>273</v>
      </c>
      <c r="B148" t="s">
        <v>254</v>
      </c>
      <c r="C148" t="s">
        <v>274</v>
      </c>
      <c r="D148" t="s">
        <v>275</v>
      </c>
    </row>
    <row r="149" spans="1:4" s="6" customFormat="1">
      <c r="A149" s="10" t="s">
        <v>273</v>
      </c>
      <c r="B149" s="6" t="s">
        <v>254</v>
      </c>
      <c r="C149" s="6" t="s">
        <v>276</v>
      </c>
      <c r="D149" s="6" t="s">
        <v>277</v>
      </c>
    </row>
    <row r="150" spans="1:4">
      <c r="A150" s="1" t="s">
        <v>273</v>
      </c>
      <c r="B150" s="2" t="s">
        <v>254</v>
      </c>
      <c r="C150" s="2" t="s">
        <v>278</v>
      </c>
      <c r="D150" s="2" t="s">
        <v>279</v>
      </c>
    </row>
    <row r="151" spans="1:4">
      <c r="A151" s="1" t="s">
        <v>27</v>
      </c>
      <c r="B151" s="2" t="s">
        <v>254</v>
      </c>
      <c r="C151" s="2" t="s">
        <v>280</v>
      </c>
      <c r="D151" s="2" t="s">
        <v>281</v>
      </c>
    </row>
    <row r="152" spans="1:4">
      <c r="A152" s="1" t="s">
        <v>27</v>
      </c>
      <c r="B152" s="2" t="s">
        <v>254</v>
      </c>
      <c r="C152" s="2" t="s">
        <v>282</v>
      </c>
      <c r="D152" s="2" t="s">
        <v>283</v>
      </c>
    </row>
    <row r="153" spans="1:4">
      <c r="A153" s="1" t="s">
        <v>27</v>
      </c>
      <c r="B153" s="2" t="s">
        <v>254</v>
      </c>
      <c r="C153" s="2" t="s">
        <v>284</v>
      </c>
      <c r="D153" s="2" t="s">
        <v>285</v>
      </c>
    </row>
    <row r="154" spans="1:4">
      <c r="A154" s="1" t="s">
        <v>27</v>
      </c>
      <c r="B154" s="2" t="s">
        <v>254</v>
      </c>
      <c r="C154" s="2" t="s">
        <v>286</v>
      </c>
      <c r="D154" s="2" t="s">
        <v>287</v>
      </c>
    </row>
    <row r="155" spans="1:4" s="6" customFormat="1">
      <c r="A155" s="11" t="s">
        <v>27</v>
      </c>
      <c r="B155" s="12" t="s">
        <v>254</v>
      </c>
      <c r="C155" s="12" t="s">
        <v>288</v>
      </c>
      <c r="D155" s="12" t="s">
        <v>289</v>
      </c>
    </row>
    <row r="156" spans="1:4">
      <c r="A156" s="1" t="s">
        <v>27</v>
      </c>
      <c r="B156" s="2" t="s">
        <v>254</v>
      </c>
      <c r="C156" s="2" t="s">
        <v>290</v>
      </c>
      <c r="D156" s="2" t="s">
        <v>291</v>
      </c>
    </row>
    <row r="157" spans="1:4">
      <c r="A157" s="1" t="s">
        <v>27</v>
      </c>
      <c r="B157" s="2" t="s">
        <v>254</v>
      </c>
      <c r="C157" s="2" t="s">
        <v>292</v>
      </c>
      <c r="D157" s="2" t="s">
        <v>293</v>
      </c>
    </row>
    <row r="158" spans="1:4" s="6" customFormat="1">
      <c r="A158" s="1" t="s">
        <v>4</v>
      </c>
      <c r="B158" s="2" t="s">
        <v>294</v>
      </c>
      <c r="C158" s="2" t="s">
        <v>295</v>
      </c>
      <c r="D158" s="2" t="s">
        <v>296</v>
      </c>
    </row>
    <row r="159" spans="1:4">
      <c r="A159" s="1" t="s">
        <v>4</v>
      </c>
      <c r="B159" s="2" t="s">
        <v>294</v>
      </c>
      <c r="C159" s="2" t="s">
        <v>297</v>
      </c>
      <c r="D159" s="2" t="s">
        <v>298</v>
      </c>
    </row>
    <row r="160" spans="1:4">
      <c r="A160" s="1" t="s">
        <v>4</v>
      </c>
      <c r="B160" s="2" t="s">
        <v>294</v>
      </c>
      <c r="C160" s="2" t="s">
        <v>299</v>
      </c>
      <c r="D160" s="2">
        <v>9</v>
      </c>
    </row>
    <row r="161" spans="1:4" s="6" customFormat="1">
      <c r="A161" s="11" t="s">
        <v>4</v>
      </c>
      <c r="B161" s="12" t="s">
        <v>294</v>
      </c>
      <c r="C161" s="12" t="s">
        <v>300</v>
      </c>
      <c r="D161" s="12" t="s">
        <v>301</v>
      </c>
    </row>
    <row r="162" spans="1:4">
      <c r="A162" s="1" t="s">
        <v>4</v>
      </c>
      <c r="B162" s="2" t="s">
        <v>294</v>
      </c>
      <c r="C162" s="2" t="s">
        <v>302</v>
      </c>
      <c r="D162" s="2">
        <v>39</v>
      </c>
    </row>
    <row r="163" spans="1:4">
      <c r="A163" s="1" t="s">
        <v>4</v>
      </c>
      <c r="B163" s="2" t="s">
        <v>294</v>
      </c>
      <c r="C163" s="2" t="s">
        <v>303</v>
      </c>
      <c r="D163" s="2" t="s">
        <v>304</v>
      </c>
    </row>
    <row r="164" spans="1:4" s="6" customFormat="1">
      <c r="A164" s="11" t="s">
        <v>4</v>
      </c>
      <c r="B164" s="12" t="s">
        <v>294</v>
      </c>
      <c r="C164" s="12" t="s">
        <v>305</v>
      </c>
      <c r="D164" s="12">
        <v>17</v>
      </c>
    </row>
    <row r="165" spans="1:4">
      <c r="A165" s="1" t="s">
        <v>4</v>
      </c>
      <c r="B165" s="2" t="s">
        <v>294</v>
      </c>
      <c r="C165" s="2" t="s">
        <v>306</v>
      </c>
      <c r="D165" s="2" t="s">
        <v>307</v>
      </c>
    </row>
    <row r="166" spans="1:4">
      <c r="A166" s="1" t="s">
        <v>4</v>
      </c>
      <c r="B166" s="2" t="s">
        <v>294</v>
      </c>
      <c r="C166" s="2" t="s">
        <v>308</v>
      </c>
      <c r="D166" s="2" t="s">
        <v>309</v>
      </c>
    </row>
    <row r="167" spans="1:4" s="6" customFormat="1">
      <c r="A167" s="1" t="s">
        <v>16</v>
      </c>
      <c r="B167" s="2" t="s">
        <v>294</v>
      </c>
      <c r="C167" s="2" t="s">
        <v>310</v>
      </c>
      <c r="D167" s="2" t="s">
        <v>311</v>
      </c>
    </row>
    <row r="168" spans="1:4" s="6" customFormat="1">
      <c r="A168" s="11" t="s">
        <v>16</v>
      </c>
      <c r="B168" s="12" t="s">
        <v>294</v>
      </c>
      <c r="C168" s="12" t="s">
        <v>312</v>
      </c>
      <c r="D168" s="12" t="s">
        <v>313</v>
      </c>
    </row>
    <row r="169" spans="1:4">
      <c r="A169" s="1" t="s">
        <v>16</v>
      </c>
      <c r="B169" s="2" t="s">
        <v>294</v>
      </c>
      <c r="C169" s="2" t="s">
        <v>314</v>
      </c>
      <c r="D169" s="2">
        <v>3</v>
      </c>
    </row>
    <row r="170" spans="1:4">
      <c r="A170" s="1" t="s">
        <v>16</v>
      </c>
      <c r="B170" s="2" t="s">
        <v>294</v>
      </c>
      <c r="C170" s="2" t="s">
        <v>315</v>
      </c>
      <c r="D170" s="2" t="s">
        <v>316</v>
      </c>
    </row>
    <row r="171" spans="1:4" s="6" customFormat="1">
      <c r="A171" s="11" t="s">
        <v>16</v>
      </c>
      <c r="B171" s="12" t="s">
        <v>294</v>
      </c>
      <c r="C171" s="12" t="s">
        <v>317</v>
      </c>
      <c r="D171" s="12" t="s">
        <v>318</v>
      </c>
    </row>
    <row r="172" spans="1:4">
      <c r="A172" s="1" t="s">
        <v>16</v>
      </c>
      <c r="B172" s="2" t="s">
        <v>294</v>
      </c>
      <c r="C172" s="2" t="s">
        <v>319</v>
      </c>
      <c r="D172" s="2" t="s">
        <v>320</v>
      </c>
    </row>
    <row r="173" spans="1:4">
      <c r="A173" s="1" t="s">
        <v>16</v>
      </c>
      <c r="B173" s="2" t="s">
        <v>294</v>
      </c>
      <c r="C173" s="2" t="s">
        <v>321</v>
      </c>
      <c r="D173" s="2" t="s">
        <v>322</v>
      </c>
    </row>
    <row r="174" spans="1:4">
      <c r="A174" s="1" t="s">
        <v>16</v>
      </c>
      <c r="B174" s="2" t="s">
        <v>294</v>
      </c>
      <c r="C174" s="2" t="s">
        <v>323</v>
      </c>
      <c r="D174" s="2" t="s">
        <v>324</v>
      </c>
    </row>
    <row r="175" spans="1:4">
      <c r="A175" s="1" t="s">
        <v>16</v>
      </c>
      <c r="B175" s="2" t="s">
        <v>294</v>
      </c>
      <c r="C175" s="2" t="s">
        <v>325</v>
      </c>
      <c r="D175" s="2">
        <v>2</v>
      </c>
    </row>
    <row r="176" spans="1:4">
      <c r="A176" s="1" t="s">
        <v>27</v>
      </c>
      <c r="B176" s="2" t="s">
        <v>294</v>
      </c>
      <c r="C176" s="2" t="s">
        <v>326</v>
      </c>
      <c r="D176" s="2" t="s">
        <v>327</v>
      </c>
    </row>
    <row r="177" spans="1:4">
      <c r="A177" s="1" t="s">
        <v>27</v>
      </c>
      <c r="B177" s="2" t="s">
        <v>294</v>
      </c>
      <c r="C177" s="2" t="s">
        <v>328</v>
      </c>
      <c r="D177" s="2" t="s">
        <v>329</v>
      </c>
    </row>
    <row r="178" spans="1:4">
      <c r="A178" s="1" t="s">
        <v>27</v>
      </c>
      <c r="B178" t="s">
        <v>294</v>
      </c>
      <c r="C178" s="2" t="s">
        <v>330</v>
      </c>
      <c r="D178" s="2" t="s">
        <v>331</v>
      </c>
    </row>
    <row r="179" spans="1:4" s="6" customFormat="1">
      <c r="A179" s="11" t="s">
        <v>27</v>
      </c>
      <c r="B179" s="6" t="s">
        <v>294</v>
      </c>
      <c r="C179" s="12" t="s">
        <v>332</v>
      </c>
      <c r="D179" s="12" t="s">
        <v>333</v>
      </c>
    </row>
    <row r="180" spans="1:4">
      <c r="A180" s="1" t="s">
        <v>27</v>
      </c>
      <c r="B180" t="s">
        <v>294</v>
      </c>
      <c r="C180" s="2" t="s">
        <v>334</v>
      </c>
      <c r="D180" s="2" t="s">
        <v>335</v>
      </c>
    </row>
    <row r="181" spans="1:4">
      <c r="A181" s="1" t="s">
        <v>27</v>
      </c>
      <c r="B181" t="s">
        <v>294</v>
      </c>
      <c r="C181" s="2" t="s">
        <v>336</v>
      </c>
      <c r="D181" s="2" t="s">
        <v>337</v>
      </c>
    </row>
    <row r="182" spans="1:4" s="6" customFormat="1">
      <c r="A182" s="11" t="s">
        <v>4</v>
      </c>
      <c r="B182" s="6" t="s">
        <v>338</v>
      </c>
      <c r="C182" s="12" t="s">
        <v>339</v>
      </c>
      <c r="D182" s="12">
        <v>0</v>
      </c>
    </row>
    <row r="183" spans="1:4">
      <c r="A183" s="1" t="s">
        <v>4</v>
      </c>
      <c r="B183" t="s">
        <v>338</v>
      </c>
      <c r="C183" s="2" t="s">
        <v>340</v>
      </c>
      <c r="D183" s="2">
        <v>14</v>
      </c>
    </row>
    <row r="184" spans="1:4">
      <c r="A184" s="11" t="s">
        <v>4</v>
      </c>
      <c r="B184" s="6" t="s">
        <v>338</v>
      </c>
      <c r="C184" s="12" t="s">
        <v>341</v>
      </c>
      <c r="D184" s="12" t="s">
        <v>342</v>
      </c>
    </row>
    <row r="185" spans="1:4">
      <c r="A185" s="1" t="s">
        <v>4</v>
      </c>
      <c r="B185" t="s">
        <v>338</v>
      </c>
      <c r="C185" s="2" t="s">
        <v>343</v>
      </c>
      <c r="D185" s="2" t="s">
        <v>344</v>
      </c>
    </row>
    <row r="186" spans="1:4">
      <c r="A186" s="1" t="s">
        <v>4</v>
      </c>
      <c r="B186" t="s">
        <v>338</v>
      </c>
      <c r="C186" s="2" t="s">
        <v>345</v>
      </c>
      <c r="D186" s="2">
        <v>1904</v>
      </c>
    </row>
    <row r="187" spans="1:4">
      <c r="A187" s="1" t="s">
        <v>4</v>
      </c>
      <c r="B187" s="2" t="s">
        <v>338</v>
      </c>
      <c r="C187" s="2" t="s">
        <v>346</v>
      </c>
      <c r="D187" s="2" t="s">
        <v>347</v>
      </c>
    </row>
    <row r="188" spans="1:4">
      <c r="A188" s="1" t="s">
        <v>4</v>
      </c>
      <c r="B188" s="2" t="s">
        <v>338</v>
      </c>
      <c r="C188" s="2" t="s">
        <v>348</v>
      </c>
      <c r="D188" s="2">
        <v>1985</v>
      </c>
    </row>
    <row r="189" spans="1:4">
      <c r="A189" s="1" t="s">
        <v>4</v>
      </c>
      <c r="B189" s="2" t="s">
        <v>338</v>
      </c>
      <c r="C189" s="2" t="s">
        <v>349</v>
      </c>
      <c r="D189" s="2">
        <v>11</v>
      </c>
    </row>
    <row r="190" spans="1:4">
      <c r="A190" s="1" t="s">
        <v>4</v>
      </c>
      <c r="B190" s="2" t="s">
        <v>338</v>
      </c>
      <c r="C190" s="2" t="s">
        <v>350</v>
      </c>
      <c r="D190" s="2" t="s">
        <v>351</v>
      </c>
    </row>
    <row r="191" spans="1:4">
      <c r="A191" s="1" t="s">
        <v>4</v>
      </c>
      <c r="B191" s="2" t="s">
        <v>338</v>
      </c>
      <c r="C191" s="2" t="s">
        <v>352</v>
      </c>
      <c r="D191" s="2">
        <v>2</v>
      </c>
    </row>
    <row r="192" spans="1:4">
      <c r="A192" s="1" t="s">
        <v>4</v>
      </c>
      <c r="B192" s="2" t="s">
        <v>338</v>
      </c>
      <c r="C192" s="2" t="s">
        <v>353</v>
      </c>
      <c r="D192" s="2">
        <v>1</v>
      </c>
    </row>
    <row r="193" spans="1:4">
      <c r="A193" s="1" t="s">
        <v>4</v>
      </c>
      <c r="B193" s="2" t="s">
        <v>338</v>
      </c>
      <c r="C193" s="2" t="s">
        <v>354</v>
      </c>
      <c r="D193" s="2">
        <v>1</v>
      </c>
    </row>
    <row r="194" spans="1:4">
      <c r="A194" s="1" t="s">
        <v>4</v>
      </c>
      <c r="B194" s="2" t="s">
        <v>338</v>
      </c>
      <c r="C194" s="2" t="s">
        <v>355</v>
      </c>
      <c r="D194" s="2">
        <v>3</v>
      </c>
    </row>
    <row r="195" spans="1:4">
      <c r="A195" s="1" t="s">
        <v>16</v>
      </c>
      <c r="B195" s="2" t="s">
        <v>338</v>
      </c>
      <c r="C195" s="2" t="s">
        <v>356</v>
      </c>
      <c r="D195" s="2" t="s">
        <v>357</v>
      </c>
    </row>
    <row r="196" spans="1:4" s="6" customFormat="1">
      <c r="A196" s="1" t="s">
        <v>16</v>
      </c>
      <c r="B196" s="2" t="s">
        <v>338</v>
      </c>
      <c r="C196" s="2" t="s">
        <v>358</v>
      </c>
      <c r="D196" s="2" t="s">
        <v>359</v>
      </c>
    </row>
    <row r="197" spans="1:4">
      <c r="A197" s="1" t="s">
        <v>16</v>
      </c>
      <c r="B197" s="2" t="s">
        <v>338</v>
      </c>
      <c r="C197" s="2" t="s">
        <v>360</v>
      </c>
      <c r="D197" s="2" t="s">
        <v>361</v>
      </c>
    </row>
    <row r="198" spans="1:4">
      <c r="A198" s="1" t="s">
        <v>16</v>
      </c>
      <c r="B198" s="2" t="s">
        <v>338</v>
      </c>
      <c r="C198" s="2" t="s">
        <v>362</v>
      </c>
      <c r="D198" s="2" t="s">
        <v>363</v>
      </c>
    </row>
    <row r="199" spans="1:4">
      <c r="A199" s="1" t="s">
        <v>16</v>
      </c>
      <c r="B199" s="2" t="s">
        <v>338</v>
      </c>
      <c r="C199" s="2" t="s">
        <v>364</v>
      </c>
      <c r="D199" s="2" t="s">
        <v>365</v>
      </c>
    </row>
    <row r="200" spans="1:4">
      <c r="A200" s="1" t="s">
        <v>16</v>
      </c>
      <c r="B200" s="2" t="s">
        <v>338</v>
      </c>
      <c r="C200" s="2" t="s">
        <v>366</v>
      </c>
      <c r="D200" s="2">
        <v>122</v>
      </c>
    </row>
    <row r="201" spans="1:4">
      <c r="A201" s="1" t="s">
        <v>16</v>
      </c>
      <c r="B201" s="2" t="s">
        <v>338</v>
      </c>
      <c r="C201" s="2" t="s">
        <v>367</v>
      </c>
      <c r="D201" s="2" t="s">
        <v>368</v>
      </c>
    </row>
    <row r="202" spans="1:4">
      <c r="A202" s="1" t="s">
        <v>16</v>
      </c>
      <c r="B202" s="2" t="s">
        <v>338</v>
      </c>
      <c r="C202" s="2" t="s">
        <v>369</v>
      </c>
      <c r="D202" s="2" t="s">
        <v>370</v>
      </c>
    </row>
    <row r="203" spans="1:4">
      <c r="A203" s="1" t="s">
        <v>16</v>
      </c>
      <c r="B203" s="2" t="s">
        <v>338</v>
      </c>
      <c r="C203" s="2" t="s">
        <v>371</v>
      </c>
      <c r="D203" s="2" t="s">
        <v>372</v>
      </c>
    </row>
    <row r="204" spans="1:4">
      <c r="A204" s="1" t="s">
        <v>16</v>
      </c>
      <c r="B204" s="2" t="s">
        <v>338</v>
      </c>
      <c r="C204" s="2" t="s">
        <v>373</v>
      </c>
      <c r="D204" s="2" t="s">
        <v>374</v>
      </c>
    </row>
    <row r="205" spans="1:4">
      <c r="A205" s="1" t="s">
        <v>16</v>
      </c>
      <c r="B205" s="2" t="s">
        <v>338</v>
      </c>
      <c r="C205" s="2" t="s">
        <v>375</v>
      </c>
      <c r="D205" s="2" t="s">
        <v>376</v>
      </c>
    </row>
    <row r="206" spans="1:4" s="6" customFormat="1">
      <c r="A206" s="11" t="s">
        <v>27</v>
      </c>
      <c r="B206" s="12" t="s">
        <v>338</v>
      </c>
      <c r="C206" s="12" t="s">
        <v>377</v>
      </c>
      <c r="D206" s="12" t="s">
        <v>378</v>
      </c>
    </row>
    <row r="207" spans="1:4">
      <c r="A207" s="1" t="s">
        <v>27</v>
      </c>
      <c r="B207" s="2" t="s">
        <v>338</v>
      </c>
      <c r="C207" s="2" t="s">
        <v>379</v>
      </c>
      <c r="D207" s="2" t="s">
        <v>380</v>
      </c>
    </row>
    <row r="208" spans="1:4">
      <c r="A208" s="1" t="s">
        <v>27</v>
      </c>
      <c r="B208" s="2" t="s">
        <v>338</v>
      </c>
      <c r="C208" s="2" t="s">
        <v>381</v>
      </c>
      <c r="D208" s="2" t="s">
        <v>382</v>
      </c>
    </row>
    <row r="209" spans="1:4">
      <c r="A209" s="1" t="s">
        <v>27</v>
      </c>
      <c r="B209" s="2" t="s">
        <v>338</v>
      </c>
      <c r="C209" s="2" t="s">
        <v>383</v>
      </c>
      <c r="D209" s="2" t="s">
        <v>384</v>
      </c>
    </row>
    <row r="210" spans="1:4">
      <c r="A210" s="1" t="s">
        <v>27</v>
      </c>
      <c r="B210" s="2" t="s">
        <v>338</v>
      </c>
      <c r="C210" s="2" t="s">
        <v>385</v>
      </c>
      <c r="D210" s="2" t="s">
        <v>386</v>
      </c>
    </row>
    <row r="211" spans="1:4" s="6" customFormat="1">
      <c r="A211" s="11" t="s">
        <v>27</v>
      </c>
      <c r="B211" s="12" t="s">
        <v>338</v>
      </c>
      <c r="C211" s="12" t="s">
        <v>387</v>
      </c>
      <c r="D211" s="12" t="s">
        <v>388</v>
      </c>
    </row>
    <row r="212" spans="1:4">
      <c r="A212" s="1" t="s">
        <v>27</v>
      </c>
      <c r="B212" s="2" t="s">
        <v>338</v>
      </c>
      <c r="C212" s="9" t="s">
        <v>389</v>
      </c>
      <c r="D212" s="2" t="s">
        <v>390</v>
      </c>
    </row>
    <row r="213" spans="1:4">
      <c r="A213" s="1" t="s">
        <v>27</v>
      </c>
      <c r="B213" s="2" t="s">
        <v>338</v>
      </c>
      <c r="C213" s="2" t="s">
        <v>391</v>
      </c>
      <c r="D213" s="2">
        <v>3</v>
      </c>
    </row>
    <row r="214" spans="1:4">
      <c r="A214" s="1" t="s">
        <v>27</v>
      </c>
      <c r="B214" s="2" t="s">
        <v>338</v>
      </c>
      <c r="C214" s="2" t="s">
        <v>392</v>
      </c>
      <c r="D214" s="2">
        <v>7</v>
      </c>
    </row>
    <row r="215" spans="1:4">
      <c r="A215" s="11" t="s">
        <v>27</v>
      </c>
      <c r="B215" s="12" t="s">
        <v>338</v>
      </c>
      <c r="C215" s="12" t="s">
        <v>393</v>
      </c>
      <c r="D215" s="12">
        <v>75</v>
      </c>
    </row>
    <row r="216" spans="1:4">
      <c r="A216" s="1" t="s">
        <v>27</v>
      </c>
      <c r="B216" s="2" t="s">
        <v>338</v>
      </c>
      <c r="C216" s="2" t="s">
        <v>394</v>
      </c>
      <c r="D216" s="2" t="s">
        <v>395</v>
      </c>
    </row>
    <row r="217" spans="1:4">
      <c r="A217" s="1" t="s">
        <v>27</v>
      </c>
      <c r="B217" s="2" t="s">
        <v>338</v>
      </c>
      <c r="C217" s="2" t="s">
        <v>396</v>
      </c>
      <c r="D217" s="2">
        <v>1875</v>
      </c>
    </row>
    <row r="218" spans="1:4">
      <c r="A218" s="1" t="s">
        <v>27</v>
      </c>
      <c r="B218" s="2" t="s">
        <v>338</v>
      </c>
      <c r="C218" s="2" t="s">
        <v>397</v>
      </c>
      <c r="D218" s="2" t="s">
        <v>398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3AB4-B7DF-4029-985F-0FC780B13CB9}">
  <dimension ref="A1:N33"/>
  <sheetViews>
    <sheetView workbookViewId="0">
      <selection activeCell="L4" sqref="L4"/>
    </sheetView>
  </sheetViews>
  <sheetFormatPr defaultColWidth="11.42578125" defaultRowHeight="15"/>
  <cols>
    <col min="2" max="2" width="12.28515625" bestFit="1" customWidth="1"/>
    <col min="3" max="3" width="108.42578125" bestFit="1" customWidth="1"/>
    <col min="4" max="4" width="71.85546875" bestFit="1" customWidth="1"/>
    <col min="5" max="5" width="12.42578125" bestFit="1" customWidth="1"/>
    <col min="6" max="6" width="12.7109375" customWidth="1"/>
    <col min="7" max="7" width="12.28515625" customWidth="1"/>
    <col min="8" max="8" width="114.7109375" bestFit="1" customWidth="1"/>
    <col min="9" max="9" width="12.28515625" customWidth="1"/>
    <col min="10" max="10" width="12.7109375" customWidth="1"/>
    <col min="11" max="11" width="12.28515625" customWidth="1"/>
    <col min="12" max="12" width="12.7109375" customWidth="1"/>
    <col min="13" max="13" width="12.28515625" customWidth="1"/>
  </cols>
  <sheetData>
    <row r="1" spans="1:14">
      <c r="A1" t="s">
        <v>399</v>
      </c>
      <c r="B1" t="s">
        <v>400</v>
      </c>
      <c r="C1" t="s">
        <v>1</v>
      </c>
      <c r="D1" t="s">
        <v>401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  <c r="J1" t="s">
        <v>407</v>
      </c>
      <c r="K1" t="s">
        <v>408</v>
      </c>
      <c r="L1" t="s">
        <v>409</v>
      </c>
      <c r="M1" t="s">
        <v>410</v>
      </c>
    </row>
    <row r="2" spans="1:14" ht="15.75">
      <c r="A2" s="25" t="s">
        <v>411</v>
      </c>
      <c r="B2" s="25" t="s">
        <v>412</v>
      </c>
      <c r="C2" s="25" t="s">
        <v>413</v>
      </c>
      <c r="D2" s="13" t="s">
        <v>414</v>
      </c>
      <c r="E2" s="25" t="s">
        <v>415</v>
      </c>
      <c r="F2" s="13" t="s">
        <v>416</v>
      </c>
      <c r="G2" s="25" t="s">
        <v>417</v>
      </c>
      <c r="H2" s="26" t="s">
        <v>418</v>
      </c>
      <c r="I2" s="25" t="s">
        <v>419</v>
      </c>
      <c r="J2" s="25" t="s">
        <v>420</v>
      </c>
      <c r="K2" s="25">
        <v>72</v>
      </c>
      <c r="L2" s="25" t="s">
        <v>421</v>
      </c>
      <c r="M2" s="25" t="s">
        <v>422</v>
      </c>
      <c r="N2" s="25"/>
    </row>
    <row r="3" spans="1:14">
      <c r="A3" s="25" t="s">
        <v>423</v>
      </c>
      <c r="B3" s="25" t="s">
        <v>412</v>
      </c>
      <c r="C3" s="25" t="s">
        <v>424</v>
      </c>
      <c r="D3" s="25" t="s">
        <v>425</v>
      </c>
      <c r="E3" s="27">
        <v>35633</v>
      </c>
      <c r="F3" s="25" t="s">
        <v>426</v>
      </c>
      <c r="G3" s="25">
        <v>48</v>
      </c>
      <c r="H3" s="26" t="s">
        <v>427</v>
      </c>
      <c r="I3" s="25" t="s">
        <v>428</v>
      </c>
      <c r="J3" s="25" t="s">
        <v>429</v>
      </c>
      <c r="K3" s="25" t="s">
        <v>430</v>
      </c>
      <c r="L3" s="25" t="s">
        <v>431</v>
      </c>
      <c r="M3" s="25" t="s">
        <v>432</v>
      </c>
      <c r="N3" s="25"/>
    </row>
    <row r="4" spans="1:14">
      <c r="A4" s="25" t="s">
        <v>433</v>
      </c>
      <c r="B4" s="25" t="s">
        <v>434</v>
      </c>
      <c r="C4" s="25" t="s">
        <v>435</v>
      </c>
      <c r="D4" s="25" t="s">
        <v>436</v>
      </c>
      <c r="E4" s="25">
        <v>5</v>
      </c>
      <c r="F4" s="25" t="s">
        <v>437</v>
      </c>
      <c r="G4" s="25" t="s">
        <v>438</v>
      </c>
      <c r="H4" s="26" t="s">
        <v>439</v>
      </c>
      <c r="I4" s="25">
        <v>3</v>
      </c>
      <c r="J4" s="25" t="s">
        <v>440</v>
      </c>
      <c r="K4" s="25" t="s">
        <v>441</v>
      </c>
      <c r="L4" s="25" t="s">
        <v>442</v>
      </c>
      <c r="M4" s="25">
        <v>0</v>
      </c>
      <c r="N4" s="25"/>
    </row>
    <row r="5" spans="1:14" ht="15.75">
      <c r="A5" s="25" t="s">
        <v>443</v>
      </c>
      <c r="B5" s="25" t="s">
        <v>444</v>
      </c>
      <c r="C5" s="25" t="s">
        <v>445</v>
      </c>
      <c r="D5" s="25" t="s">
        <v>446</v>
      </c>
      <c r="E5" s="13" t="s">
        <v>447</v>
      </c>
      <c r="F5" s="25" t="s">
        <v>448</v>
      </c>
      <c r="G5" s="25" t="s">
        <v>449</v>
      </c>
      <c r="H5" s="13" t="s">
        <v>450</v>
      </c>
      <c r="I5" s="25" t="s">
        <v>451</v>
      </c>
      <c r="J5" s="25" t="s">
        <v>452</v>
      </c>
      <c r="K5" s="25" t="s">
        <v>453</v>
      </c>
      <c r="L5" s="13" t="s">
        <v>454</v>
      </c>
      <c r="M5" s="13" t="s">
        <v>455</v>
      </c>
      <c r="N5" s="25"/>
    </row>
    <row r="6" spans="1:14">
      <c r="A6" s="25" t="s">
        <v>456</v>
      </c>
      <c r="B6" s="25" t="s">
        <v>457</v>
      </c>
      <c r="C6" s="25" t="s">
        <v>458</v>
      </c>
      <c r="D6" s="25" t="s">
        <v>459</v>
      </c>
      <c r="E6" s="25" t="s">
        <v>460</v>
      </c>
      <c r="F6" s="25" t="s">
        <v>461</v>
      </c>
      <c r="G6" s="25" t="s">
        <v>462</v>
      </c>
      <c r="H6" s="26" t="s">
        <v>463</v>
      </c>
      <c r="I6" s="25" t="s">
        <v>464</v>
      </c>
      <c r="J6" s="25" t="s">
        <v>465</v>
      </c>
      <c r="K6" s="25" t="s">
        <v>466</v>
      </c>
      <c r="L6" s="25" t="s">
        <v>467</v>
      </c>
      <c r="M6" s="25" t="s">
        <v>468</v>
      </c>
      <c r="N6" s="25"/>
    </row>
    <row r="7" spans="1:14">
      <c r="A7" s="25" t="s">
        <v>469</v>
      </c>
      <c r="B7" s="25" t="s">
        <v>470</v>
      </c>
      <c r="C7" s="25" t="s">
        <v>471</v>
      </c>
      <c r="D7" s="25" t="s">
        <v>472</v>
      </c>
      <c r="E7" s="25">
        <v>120</v>
      </c>
      <c r="F7" s="25" t="s">
        <v>473</v>
      </c>
      <c r="G7" s="25" t="s">
        <v>474</v>
      </c>
      <c r="H7" s="26" t="s">
        <v>475</v>
      </c>
      <c r="I7" s="25" t="s">
        <v>476</v>
      </c>
      <c r="J7" s="25" t="s">
        <v>477</v>
      </c>
      <c r="K7" s="25" t="s">
        <v>478</v>
      </c>
      <c r="L7" s="25" t="s">
        <v>479</v>
      </c>
      <c r="M7" s="25" t="s">
        <v>480</v>
      </c>
      <c r="N7" s="25"/>
    </row>
    <row r="8" spans="1:14">
      <c r="A8" s="25" t="s">
        <v>481</v>
      </c>
      <c r="B8" s="25" t="s">
        <v>482</v>
      </c>
      <c r="C8" s="25" t="s">
        <v>483</v>
      </c>
      <c r="D8" s="25" t="s">
        <v>484</v>
      </c>
      <c r="E8" s="27">
        <v>42318</v>
      </c>
      <c r="F8" s="25" t="s">
        <v>485</v>
      </c>
      <c r="G8" s="25">
        <v>10</v>
      </c>
      <c r="H8" s="26" t="s">
        <v>486</v>
      </c>
      <c r="I8" s="25" t="s">
        <v>487</v>
      </c>
      <c r="J8" s="25" t="s">
        <v>488</v>
      </c>
      <c r="K8" s="25" t="s">
        <v>489</v>
      </c>
      <c r="L8" s="25" t="s">
        <v>490</v>
      </c>
      <c r="M8" s="25" t="s">
        <v>491</v>
      </c>
      <c r="N8" s="25"/>
    </row>
    <row r="9" spans="1:14">
      <c r="A9" s="25" t="s">
        <v>492</v>
      </c>
      <c r="B9" s="25" t="s">
        <v>493</v>
      </c>
      <c r="C9" s="25" t="s">
        <v>494</v>
      </c>
      <c r="D9" s="25" t="s">
        <v>495</v>
      </c>
      <c r="E9" s="25">
        <v>47</v>
      </c>
      <c r="F9" s="25" t="s">
        <v>496</v>
      </c>
      <c r="G9" s="25" t="s">
        <v>497</v>
      </c>
      <c r="H9" s="26" t="s">
        <v>498</v>
      </c>
      <c r="I9" s="25" t="s">
        <v>499</v>
      </c>
      <c r="J9" s="25" t="s">
        <v>500</v>
      </c>
      <c r="K9" s="25" t="s">
        <v>501</v>
      </c>
      <c r="L9" s="25" t="s">
        <v>502</v>
      </c>
      <c r="M9" s="25" t="s">
        <v>503</v>
      </c>
      <c r="N9" s="25"/>
    </row>
    <row r="10" spans="1:14">
      <c r="A10" s="25" t="s">
        <v>504</v>
      </c>
      <c r="B10" s="25" t="s">
        <v>505</v>
      </c>
      <c r="C10" s="25" t="s">
        <v>506</v>
      </c>
      <c r="D10" s="25" t="s">
        <v>507</v>
      </c>
      <c r="E10" s="25" t="s">
        <v>508</v>
      </c>
      <c r="F10" s="25" t="s">
        <v>509</v>
      </c>
      <c r="G10" s="25" t="s">
        <v>510</v>
      </c>
      <c r="H10" s="26" t="s">
        <v>511</v>
      </c>
      <c r="I10" s="25">
        <v>23</v>
      </c>
      <c r="J10" s="25" t="s">
        <v>512</v>
      </c>
      <c r="K10" s="25" t="s">
        <v>513</v>
      </c>
      <c r="L10" s="25" t="s">
        <v>514</v>
      </c>
      <c r="M10" s="25" t="s">
        <v>515</v>
      </c>
      <c r="N10" s="25"/>
    </row>
    <row r="11" spans="1:14" ht="18" customHeight="1">
      <c r="A11" s="25" t="s">
        <v>516</v>
      </c>
      <c r="B11" s="25" t="s">
        <v>517</v>
      </c>
      <c r="C11" s="25" t="s">
        <v>518</v>
      </c>
      <c r="D11" s="14" t="s">
        <v>519</v>
      </c>
      <c r="E11" s="25" t="s">
        <v>520</v>
      </c>
      <c r="F11" s="25" t="s">
        <v>521</v>
      </c>
      <c r="G11" s="25" t="s">
        <v>522</v>
      </c>
      <c r="H11" s="26" t="s">
        <v>523</v>
      </c>
      <c r="I11" s="25" t="s">
        <v>524</v>
      </c>
      <c r="J11" s="25" t="s">
        <v>525</v>
      </c>
      <c r="K11" s="25" t="s">
        <v>526</v>
      </c>
      <c r="L11" s="25" t="s">
        <v>527</v>
      </c>
      <c r="M11" s="25">
        <v>1025</v>
      </c>
      <c r="N11" s="25"/>
    </row>
    <row r="12" spans="1:14" ht="15.75">
      <c r="A12" s="25" t="s">
        <v>528</v>
      </c>
      <c r="B12" s="25" t="s">
        <v>529</v>
      </c>
      <c r="C12" s="25" t="s">
        <v>530</v>
      </c>
      <c r="D12" s="25" t="s">
        <v>531</v>
      </c>
      <c r="E12" s="25" t="s">
        <v>532</v>
      </c>
      <c r="F12" s="25" t="s">
        <v>533</v>
      </c>
      <c r="G12" s="25" t="s">
        <v>534</v>
      </c>
      <c r="H12" s="15" t="s">
        <v>535</v>
      </c>
      <c r="I12" s="13" t="s">
        <v>536</v>
      </c>
      <c r="J12" s="25" t="s">
        <v>537</v>
      </c>
      <c r="K12" s="25" t="s">
        <v>538</v>
      </c>
      <c r="L12" s="25" t="s">
        <v>539</v>
      </c>
      <c r="M12" s="25" t="s">
        <v>540</v>
      </c>
      <c r="N12" s="25"/>
    </row>
    <row r="13" spans="1:14">
      <c r="A13" s="25" t="s">
        <v>541</v>
      </c>
      <c r="B13" s="25" t="s">
        <v>412</v>
      </c>
      <c r="C13" t="s">
        <v>542</v>
      </c>
      <c r="D13" s="25" t="s">
        <v>543</v>
      </c>
      <c r="E13" s="25">
        <v>6</v>
      </c>
      <c r="F13" s="25" t="s">
        <v>544</v>
      </c>
      <c r="G13" s="25" t="s">
        <v>545</v>
      </c>
      <c r="H13" s="25" t="s">
        <v>546</v>
      </c>
      <c r="I13" s="25">
        <v>12</v>
      </c>
      <c r="J13" s="25" t="s">
        <v>547</v>
      </c>
      <c r="K13" s="25" t="s">
        <v>548</v>
      </c>
      <c r="L13" s="25" t="s">
        <v>549</v>
      </c>
      <c r="M13" s="27">
        <v>33412</v>
      </c>
      <c r="N13" s="25"/>
    </row>
    <row r="14" spans="1:14">
      <c r="A14" s="25" t="s">
        <v>550</v>
      </c>
      <c r="B14" s="25" t="s">
        <v>551</v>
      </c>
      <c r="C14" s="25" t="s">
        <v>552</v>
      </c>
      <c r="D14" s="25" t="s">
        <v>553</v>
      </c>
      <c r="E14" s="25" t="s">
        <v>554</v>
      </c>
      <c r="F14" s="25" t="s">
        <v>555</v>
      </c>
      <c r="G14" s="25" t="s">
        <v>556</v>
      </c>
      <c r="H14" s="25" t="s">
        <v>557</v>
      </c>
      <c r="I14" s="25" t="s">
        <v>558</v>
      </c>
      <c r="J14" s="25" t="s">
        <v>559</v>
      </c>
      <c r="K14" s="25" t="s">
        <v>560</v>
      </c>
      <c r="L14" s="25" t="s">
        <v>561</v>
      </c>
      <c r="M14" s="25" t="s">
        <v>562</v>
      </c>
      <c r="N14" s="25"/>
    </row>
    <row r="15" spans="1:14">
      <c r="A15" s="25" t="s">
        <v>563</v>
      </c>
      <c r="B15" s="25" t="s">
        <v>412</v>
      </c>
      <c r="C15" s="25" t="s">
        <v>564</v>
      </c>
      <c r="D15" s="25" t="s">
        <v>565</v>
      </c>
      <c r="E15" s="25" t="s">
        <v>566</v>
      </c>
      <c r="F15" s="25" t="s">
        <v>567</v>
      </c>
      <c r="G15" s="25" t="s">
        <v>568</v>
      </c>
      <c r="H15" s="25" t="s">
        <v>569</v>
      </c>
      <c r="I15" s="25" t="s">
        <v>570</v>
      </c>
      <c r="J15" s="25" t="s">
        <v>571</v>
      </c>
      <c r="K15" s="25" t="s">
        <v>572</v>
      </c>
      <c r="L15" s="25" t="s">
        <v>573</v>
      </c>
      <c r="M15" s="25" t="s">
        <v>574</v>
      </c>
      <c r="N15" s="25"/>
    </row>
    <row r="16" spans="1:14">
      <c r="A16" s="25" t="s">
        <v>575</v>
      </c>
      <c r="B16" s="25" t="s">
        <v>576</v>
      </c>
      <c r="C16" s="25" t="s">
        <v>577</v>
      </c>
      <c r="D16" s="25" t="s">
        <v>578</v>
      </c>
      <c r="E16" s="25" t="s">
        <v>579</v>
      </c>
      <c r="F16" s="25" t="s">
        <v>580</v>
      </c>
      <c r="G16" s="25" t="s">
        <v>581</v>
      </c>
      <c r="H16" s="25" t="s">
        <v>582</v>
      </c>
      <c r="I16" s="25" t="s">
        <v>583</v>
      </c>
      <c r="J16" s="25" t="s">
        <v>584</v>
      </c>
      <c r="K16" s="25" t="s">
        <v>585</v>
      </c>
      <c r="L16" s="25" t="s">
        <v>586</v>
      </c>
      <c r="M16" s="25" t="s">
        <v>587</v>
      </c>
      <c r="N16" s="25"/>
    </row>
    <row r="23" spans="2:4">
      <c r="B23" t="s">
        <v>588</v>
      </c>
      <c r="C23" t="s">
        <v>589</v>
      </c>
      <c r="D23">
        <v>6</v>
      </c>
    </row>
    <row r="24" spans="2:4">
      <c r="B24" t="s">
        <v>590</v>
      </c>
      <c r="C24" t="s">
        <v>591</v>
      </c>
      <c r="D24">
        <v>2</v>
      </c>
    </row>
    <row r="25" spans="2:4">
      <c r="C25" t="s">
        <v>592</v>
      </c>
      <c r="D25">
        <v>2</v>
      </c>
    </row>
    <row r="26" spans="2:4">
      <c r="C26" t="s">
        <v>541</v>
      </c>
      <c r="D26">
        <v>2</v>
      </c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8B3A-9952-45B8-9407-30DCC084D900}">
  <dimension ref="A1:AF16"/>
  <sheetViews>
    <sheetView topLeftCell="Q1" workbookViewId="0">
      <selection activeCell="AE5" sqref="AE5"/>
    </sheetView>
  </sheetViews>
  <sheetFormatPr defaultColWidth="11.42578125" defaultRowHeight="15"/>
  <sheetData>
    <row r="1" spans="1:32">
      <c r="A1" s="20">
        <v>1</v>
      </c>
      <c r="B1">
        <v>0</v>
      </c>
      <c r="C1">
        <v>2</v>
      </c>
      <c r="D1">
        <v>0</v>
      </c>
      <c r="E1">
        <v>1</v>
      </c>
      <c r="F1">
        <v>0</v>
      </c>
      <c r="G1">
        <f>-4</f>
        <v>-4</v>
      </c>
      <c r="H1">
        <f>SUM(B1:G1)</f>
        <v>-1</v>
      </c>
      <c r="I1" s="20">
        <v>1</v>
      </c>
      <c r="J1">
        <v>0</v>
      </c>
      <c r="K1">
        <v>2</v>
      </c>
      <c r="L1">
        <v>2</v>
      </c>
      <c r="M1">
        <v>0</v>
      </c>
      <c r="N1">
        <v>0</v>
      </c>
      <c r="O1">
        <v>0</v>
      </c>
      <c r="P1">
        <f>SUM(J1:O1)</f>
        <v>4</v>
      </c>
      <c r="R1">
        <f>SUM(P1+H1)</f>
        <v>3</v>
      </c>
      <c r="S1">
        <v>0</v>
      </c>
      <c r="T1">
        <v>2</v>
      </c>
      <c r="U1">
        <v>3</v>
      </c>
      <c r="V1">
        <v>1</v>
      </c>
      <c r="W1">
        <v>2</v>
      </c>
    </row>
    <row r="2" spans="1:32">
      <c r="A2" s="20">
        <v>2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f>SUM(B2:G2)</f>
        <v>2</v>
      </c>
      <c r="I2" s="20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f>SUM(J2:O2)</f>
        <v>2</v>
      </c>
      <c r="R2">
        <f>SUM(P2+H2)</f>
        <v>4</v>
      </c>
      <c r="S2">
        <v>0</v>
      </c>
      <c r="T2">
        <v>2</v>
      </c>
      <c r="U2">
        <v>0</v>
      </c>
      <c r="V2">
        <v>0</v>
      </c>
      <c r="W2">
        <v>0</v>
      </c>
      <c r="X2">
        <f>-1</f>
        <v>-1</v>
      </c>
      <c r="Y2">
        <f>SUM(S1:W1,R2)</f>
        <v>12</v>
      </c>
      <c r="Z2">
        <v>0</v>
      </c>
      <c r="AA2">
        <v>0</v>
      </c>
      <c r="AB2">
        <v>2</v>
      </c>
      <c r="AC2">
        <v>0</v>
      </c>
      <c r="AD2">
        <v>0</v>
      </c>
      <c r="AE2">
        <v>1</v>
      </c>
      <c r="AF2">
        <f>SUM(Y2:AE2)</f>
        <v>15</v>
      </c>
    </row>
    <row r="3" spans="1:32">
      <c r="A3" s="20">
        <v>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f>SUM(B3:G3)</f>
        <v>1</v>
      </c>
      <c r="I3" s="20">
        <v>3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f>SUM(J3:O3)</f>
        <v>2</v>
      </c>
      <c r="R3">
        <f>SUM(P3+H3)</f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>SUM(R3:X3)</f>
        <v>3</v>
      </c>
      <c r="Z3">
        <v>0</v>
      </c>
      <c r="AA3">
        <v>0</v>
      </c>
      <c r="AB3">
        <v>2</v>
      </c>
      <c r="AC3">
        <v>0</v>
      </c>
      <c r="AD3">
        <v>0</v>
      </c>
      <c r="AE3">
        <v>-1</v>
      </c>
      <c r="AF3">
        <f t="shared" ref="AF3:AF7" si="0">SUM(Y3:AE3)</f>
        <v>4</v>
      </c>
    </row>
    <row r="4" spans="1:32">
      <c r="A4" s="20">
        <v>4</v>
      </c>
      <c r="B4">
        <v>0</v>
      </c>
      <c r="C4">
        <v>2</v>
      </c>
      <c r="D4">
        <v>0</v>
      </c>
      <c r="E4">
        <v>1</v>
      </c>
      <c r="F4">
        <v>2</v>
      </c>
      <c r="G4">
        <v>-2</v>
      </c>
      <c r="H4">
        <f>SUM(B4:G4)</f>
        <v>3</v>
      </c>
      <c r="I4" s="20">
        <v>4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f>SUM(J4:O4)</f>
        <v>2</v>
      </c>
      <c r="R4">
        <f>SUM(P4+H4)</f>
        <v>5</v>
      </c>
      <c r="S4">
        <v>0</v>
      </c>
      <c r="T4">
        <v>2</v>
      </c>
      <c r="U4">
        <v>0</v>
      </c>
      <c r="V4">
        <v>0</v>
      </c>
      <c r="W4">
        <v>0</v>
      </c>
      <c r="X4">
        <v>-1</v>
      </c>
      <c r="Y4">
        <f t="shared" ref="Y4:Y7" si="1">SUM(R4:X4)</f>
        <v>6</v>
      </c>
      <c r="Z4">
        <v>0</v>
      </c>
      <c r="AA4">
        <v>1</v>
      </c>
      <c r="AB4">
        <v>0</v>
      </c>
      <c r="AC4">
        <v>0</v>
      </c>
      <c r="AD4">
        <v>3</v>
      </c>
      <c r="AE4">
        <v>3</v>
      </c>
      <c r="AF4">
        <f t="shared" si="0"/>
        <v>13</v>
      </c>
    </row>
    <row r="5" spans="1:32">
      <c r="A5" s="20">
        <v>5</v>
      </c>
      <c r="B5">
        <v>0</v>
      </c>
      <c r="C5">
        <v>2</v>
      </c>
      <c r="D5">
        <v>0</v>
      </c>
      <c r="E5">
        <v>1</v>
      </c>
      <c r="F5">
        <v>0</v>
      </c>
      <c r="G5">
        <v>0</v>
      </c>
      <c r="H5">
        <f>SUM(B5:G5)</f>
        <v>3</v>
      </c>
      <c r="I5" s="20">
        <v>5</v>
      </c>
      <c r="J5">
        <v>3</v>
      </c>
      <c r="K5">
        <v>0</v>
      </c>
      <c r="L5">
        <v>2</v>
      </c>
      <c r="M5">
        <v>0</v>
      </c>
      <c r="N5">
        <v>0</v>
      </c>
      <c r="O5">
        <v>3</v>
      </c>
      <c r="P5">
        <f>SUM(J5:O5)</f>
        <v>8</v>
      </c>
      <c r="R5">
        <f>SUM(P5+H5)</f>
        <v>11</v>
      </c>
      <c r="S5">
        <v>0</v>
      </c>
      <c r="T5">
        <v>0</v>
      </c>
      <c r="U5">
        <v>3</v>
      </c>
      <c r="V5">
        <v>1</v>
      </c>
      <c r="W5">
        <v>0</v>
      </c>
      <c r="X5">
        <v>-2</v>
      </c>
      <c r="Y5">
        <f t="shared" si="1"/>
        <v>13</v>
      </c>
      <c r="Z5">
        <v>0</v>
      </c>
      <c r="AA5">
        <v>0</v>
      </c>
      <c r="AB5">
        <v>2</v>
      </c>
      <c r="AC5">
        <v>0</v>
      </c>
      <c r="AD5">
        <v>0</v>
      </c>
      <c r="AE5">
        <v>-3</v>
      </c>
      <c r="AF5">
        <f t="shared" si="0"/>
        <v>12</v>
      </c>
    </row>
    <row r="6" spans="1:32">
      <c r="A6" s="20">
        <v>6</v>
      </c>
      <c r="B6">
        <v>1</v>
      </c>
      <c r="C6">
        <v>2</v>
      </c>
      <c r="D6">
        <v>0</v>
      </c>
      <c r="E6">
        <v>1</v>
      </c>
      <c r="F6">
        <v>0</v>
      </c>
      <c r="G6">
        <v>0</v>
      </c>
      <c r="H6">
        <f>SUM(B6:G6)</f>
        <v>4</v>
      </c>
      <c r="I6" s="20">
        <v>6</v>
      </c>
      <c r="J6">
        <v>0</v>
      </c>
      <c r="K6">
        <v>2</v>
      </c>
      <c r="L6">
        <v>2</v>
      </c>
      <c r="M6">
        <v>2</v>
      </c>
      <c r="N6">
        <v>0</v>
      </c>
      <c r="O6">
        <v>0</v>
      </c>
      <c r="P6">
        <f>SUM(J6:O6)</f>
        <v>6</v>
      </c>
      <c r="R6">
        <f>SUM(P6+H6)</f>
        <v>10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f t="shared" si="1"/>
        <v>12</v>
      </c>
      <c r="Z6">
        <v>0</v>
      </c>
      <c r="AA6">
        <v>1</v>
      </c>
      <c r="AB6">
        <v>2</v>
      </c>
      <c r="AC6">
        <v>0</v>
      </c>
      <c r="AD6">
        <v>3</v>
      </c>
      <c r="AE6">
        <v>0</v>
      </c>
      <c r="AF6">
        <f t="shared" si="0"/>
        <v>18</v>
      </c>
    </row>
    <row r="7" spans="1:32">
      <c r="A7" s="20">
        <v>7</v>
      </c>
      <c r="B7">
        <v>0</v>
      </c>
      <c r="C7">
        <v>2</v>
      </c>
      <c r="D7">
        <v>0</v>
      </c>
      <c r="E7">
        <v>1</v>
      </c>
      <c r="F7">
        <v>0</v>
      </c>
      <c r="G7">
        <v>1</v>
      </c>
      <c r="H7">
        <f>SUM(B7:G7)</f>
        <v>4</v>
      </c>
      <c r="I7" s="20">
        <v>7</v>
      </c>
      <c r="J7">
        <v>0</v>
      </c>
      <c r="K7">
        <v>2</v>
      </c>
      <c r="L7">
        <v>2</v>
      </c>
      <c r="M7">
        <v>2</v>
      </c>
      <c r="N7">
        <v>0</v>
      </c>
      <c r="O7">
        <v>2</v>
      </c>
      <c r="P7">
        <f>SUM(J7:O7)</f>
        <v>8</v>
      </c>
      <c r="R7">
        <f>SUM(P7+H7)</f>
        <v>12</v>
      </c>
      <c r="S7">
        <v>1</v>
      </c>
      <c r="T7">
        <v>2</v>
      </c>
      <c r="U7">
        <v>0</v>
      </c>
      <c r="V7">
        <v>0</v>
      </c>
      <c r="W7">
        <v>0</v>
      </c>
      <c r="X7">
        <v>2</v>
      </c>
      <c r="Y7">
        <f t="shared" si="1"/>
        <v>17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f t="shared" si="0"/>
        <v>19</v>
      </c>
    </row>
    <row r="8" spans="1:32">
      <c r="G8" t="s">
        <v>593</v>
      </c>
      <c r="H8" t="s">
        <v>594</v>
      </c>
      <c r="O8" t="s">
        <v>595</v>
      </c>
      <c r="P8" t="s">
        <v>594</v>
      </c>
      <c r="R8" t="s">
        <v>596</v>
      </c>
      <c r="X8" t="s">
        <v>595</v>
      </c>
      <c r="Y8" t="s">
        <v>594</v>
      </c>
      <c r="AE8" t="s">
        <v>595</v>
      </c>
    </row>
    <row r="9" spans="1:32">
      <c r="B9" t="s">
        <v>597</v>
      </c>
      <c r="C9" t="s">
        <v>598</v>
      </c>
      <c r="E9" t="s">
        <v>599</v>
      </c>
    </row>
    <row r="10" spans="1:32">
      <c r="A10" s="20">
        <v>1</v>
      </c>
      <c r="B10">
        <v>5</v>
      </c>
      <c r="C10">
        <v>18</v>
      </c>
      <c r="E10" t="s">
        <v>600</v>
      </c>
      <c r="F10" t="s">
        <v>601</v>
      </c>
    </row>
    <row r="11" spans="1:32">
      <c r="A11" s="20">
        <v>2</v>
      </c>
      <c r="B11">
        <v>11</v>
      </c>
      <c r="C11">
        <v>10</v>
      </c>
      <c r="D11">
        <v>2</v>
      </c>
      <c r="E11" t="s">
        <v>602</v>
      </c>
      <c r="F11" t="s">
        <v>601</v>
      </c>
      <c r="G11" t="s">
        <v>603</v>
      </c>
    </row>
    <row r="12" spans="1:32">
      <c r="A12" s="20">
        <v>3</v>
      </c>
      <c r="B12">
        <v>20</v>
      </c>
      <c r="C12" t="s">
        <v>604</v>
      </c>
      <c r="E12" t="s">
        <v>600</v>
      </c>
      <c r="F12" t="s">
        <v>600</v>
      </c>
    </row>
    <row r="13" spans="1:32">
      <c r="A13" s="20">
        <v>4</v>
      </c>
      <c r="B13" s="19">
        <v>16</v>
      </c>
      <c r="C13" t="s">
        <v>604</v>
      </c>
      <c r="F13" t="s">
        <v>601</v>
      </c>
      <c r="G13" t="s">
        <v>601</v>
      </c>
    </row>
    <row r="14" spans="1:32">
      <c r="A14" s="20">
        <v>5</v>
      </c>
      <c r="B14">
        <v>3</v>
      </c>
      <c r="C14" s="19">
        <v>2</v>
      </c>
      <c r="E14" t="s">
        <v>600</v>
      </c>
      <c r="F14" t="s">
        <v>600</v>
      </c>
      <c r="G14" t="s">
        <v>600</v>
      </c>
    </row>
    <row r="15" spans="1:32">
      <c r="A15" s="20">
        <v>6</v>
      </c>
      <c r="B15">
        <v>11</v>
      </c>
      <c r="E15" t="s">
        <v>600</v>
      </c>
      <c r="F15" t="s">
        <v>600</v>
      </c>
      <c r="G15" t="s">
        <v>600</v>
      </c>
    </row>
    <row r="16" spans="1:32">
      <c r="A16" s="20">
        <v>7</v>
      </c>
      <c r="B16">
        <v>11</v>
      </c>
      <c r="F16" t="s">
        <v>600</v>
      </c>
      <c r="G16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Sebastien Charneau</dc:creator>
  <cp:keywords/>
  <dc:description/>
  <cp:lastModifiedBy>Utilisateur invité</cp:lastModifiedBy>
  <cp:revision/>
  <dcterms:created xsi:type="dcterms:W3CDTF">2015-06-05T18:19:34Z</dcterms:created>
  <dcterms:modified xsi:type="dcterms:W3CDTF">2025-05-10T20:13:04Z</dcterms:modified>
  <cp:category/>
  <cp:contentStatus/>
</cp:coreProperties>
</file>